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irectorio_Trabajo\GitHub\BCH_Webpage-main\Pruebas\"/>
    </mc:Choice>
  </mc:AlternateContent>
  <xr:revisionPtr revIDLastSave="0" documentId="13_ncr:1_{913A0680-7883-4CFB-BF2D-7B0DE4C1C75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Menú" sheetId="20" r:id="rId1"/>
    <sheet name="Producción" sheetId="15" r:id="rId2"/>
    <sheet name="Consumo Intermedio" sheetId="19" r:id="rId3"/>
    <sheet name="Valor Agregado" sheetId="10" r:id="rId4"/>
  </sheets>
  <externalReferences>
    <externalReference r:id="rId5"/>
  </externalReferences>
  <definedNames>
    <definedName name="B.2nEEN">#REF!</definedName>
    <definedName name="C.Intermedio">#REF!</definedName>
    <definedName name="D.121">#REF!</definedName>
    <definedName name="D.122">#REF!</definedName>
    <definedName name="D.29">#REF!</definedName>
    <definedName name="Exedente">#REF!</definedName>
    <definedName name="K.1">#REF!</definedName>
    <definedName name="NN">[1]COUD!$FY$277</definedName>
    <definedName name="NNN">[1]COUD!$FX$546</definedName>
    <definedName name="OtrasSubvenciones">#REF!</definedName>
    <definedName name="P.51FBK">#REF!</definedName>
    <definedName name="P.Bruta">#REF!</definedName>
    <definedName name="_xlnm.Print_Area" localSheetId="2">'Consumo Intermedio'!$A$1:$AA$33</definedName>
    <definedName name="_xlnm.Print_Area" localSheetId="1">Producción!$A$1:$W$31</definedName>
    <definedName name="_xlnm.Print_Area" localSheetId="3">'Valor Agregado'!$A$1:$AA$33</definedName>
    <definedName name="Remuneraciones">#REF!</definedName>
    <definedName name="SySalarios">#REF!</definedName>
    <definedName name="SySespecie">#REF!</definedName>
    <definedName name="TOTALCI">[1]COUD!$FI$546</definedName>
    <definedName name="TOTALD.21">[1]COUD!$FS$277</definedName>
    <definedName name="TOTALD21">#REF!</definedName>
    <definedName name="TOTALOFERTA">[1]COUD!$FY$277</definedName>
    <definedName name="TOTALP.1">[1]COUD!$FI$277</definedName>
    <definedName name="TOTALP.3">[1]COUD!$FS$546</definedName>
    <definedName name="TOTALP.31HOG">[1]COUD!$FN$546</definedName>
    <definedName name="TOTALP.5">[1]COUD!$FW$546</definedName>
    <definedName name="TOTALP.51">[1]COUD!$FT$546</definedName>
    <definedName name="TOTALP.52">[1]COUD!$FU$546</definedName>
    <definedName name="TOTALP.53">[1]COUD!$FV$546</definedName>
    <definedName name="TOTALP.6">[1]COUD!$FM$546</definedName>
    <definedName name="TOTALP.7">[1]COUD!$FM$277</definedName>
    <definedName name="TOTALP2EQOU">[1]COUD!$FJ$546</definedName>
    <definedName name="TOTALP31GG">[1]COUD!$FP$546</definedName>
    <definedName name="TOTALP31ISFLSH">[1]COUD!$FO$546</definedName>
    <definedName name="TOTALP32GG">[1]COUD!$FQ$546</definedName>
    <definedName name="TOTALP3GOB">[1]COUD!$FR$546</definedName>
    <definedName name="TOTALUTILIZ.1">[1]COUD!$FX$546</definedName>
    <definedName name="ttt">[1]COUD!$FI$277</definedName>
    <definedName name="V.Agregad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3" i="10" l="1"/>
</calcChain>
</file>

<file path=xl/sharedStrings.xml><?xml version="1.0" encoding="utf-8"?>
<sst xmlns="http://schemas.openxmlformats.org/spreadsheetml/2006/main" count="706" uniqueCount="61">
  <si>
    <t>Producción Bruta</t>
  </si>
  <si>
    <t>Valores Corrientes</t>
  </si>
  <si>
    <t>Estructura Porcentual Horizontal</t>
  </si>
  <si>
    <t>Estructura Vertical</t>
  </si>
  <si>
    <t>Consumo Intermedio</t>
  </si>
  <si>
    <t>Valor Agregado</t>
  </si>
  <si>
    <r>
      <t>CLASIFICACIÓN CRUZADA DE INDUSTRIAS Y SECTORES INSTITUCIONALES (CCIS), 2019</t>
    </r>
    <r>
      <rPr>
        <b/>
        <vertAlign val="superscript"/>
        <sz val="11"/>
        <rFont val="Arial"/>
        <family val="2"/>
      </rPr>
      <t>1/</t>
    </r>
  </si>
  <si>
    <t xml:space="preserve">PRODUCCIÓN  BRUTA  </t>
  </si>
  <si>
    <t xml:space="preserve"> PRODUCCIÓN  BRUTA </t>
  </si>
  <si>
    <t>(En Millones de Lempiras Corrientes)</t>
  </si>
  <si>
    <t>(Estructura Porcentual Horizontal)</t>
  </si>
  <si>
    <t>(Estructura Porcentual Vertical)</t>
  </si>
  <si>
    <t xml:space="preserve"> SECTORES INSTITUCIONALES</t>
  </si>
  <si>
    <t>Sociedades No Financieras</t>
  </si>
  <si>
    <t>Sociedades  Financieras</t>
  </si>
  <si>
    <t>Gobierno        General</t>
  </si>
  <si>
    <t xml:space="preserve">Hogares  </t>
  </si>
  <si>
    <r>
      <t>ISFLSH</t>
    </r>
    <r>
      <rPr>
        <b/>
        <vertAlign val="superscript"/>
        <sz val="11"/>
        <rFont val="Arial"/>
        <family val="2"/>
      </rPr>
      <t>2/</t>
    </r>
  </si>
  <si>
    <t>Economía Total</t>
  </si>
  <si>
    <t>INDUSTRIAS</t>
  </si>
  <si>
    <t xml:space="preserve">Agricultura, Ganadería, Caza, Silvicultura y Pesca </t>
  </si>
  <si>
    <t xml:space="preserve"> </t>
  </si>
  <si>
    <t>Explotación de Minas y Canteras</t>
  </si>
  <si>
    <t>Industrias Manufactureras</t>
  </si>
  <si>
    <t>Electricidad y Distribución de Agua</t>
  </si>
  <si>
    <t>Construcción</t>
  </si>
  <si>
    <t>Comercio, Reparación de Vehículos Automotores, Motocicletas, Efectos Personales y Enseres Domésticos</t>
  </si>
  <si>
    <t>Hoteles y Restaurantes</t>
  </si>
  <si>
    <t>Transporte y Almacenamiento</t>
  </si>
  <si>
    <t>Comunicaciones</t>
  </si>
  <si>
    <t>Intermediación Financiera</t>
  </si>
  <si>
    <t>Actividades Inmobiliarias y Empresariales</t>
  </si>
  <si>
    <t>Propiedad de Vivienda</t>
  </si>
  <si>
    <t>Administración Pública y Defensa; Planes de Seguridad Social de Afiliación Obligatoria</t>
  </si>
  <si>
    <t>Servicios de Enseñanza</t>
  </si>
  <si>
    <t xml:space="preserve"> Enseñanza</t>
  </si>
  <si>
    <t>Servicios Sociales y de Salud</t>
  </si>
  <si>
    <t>Servicios Comunitarios, Sociales y Personales</t>
  </si>
  <si>
    <t>TOTAL</t>
  </si>
  <si>
    <t>Fuente: Departamento de Cuentas Nacionales, Subgerencia de Estudios Económicos, BCH.</t>
  </si>
  <si>
    <r>
      <rPr>
        <vertAlign val="superscript"/>
        <sz val="9"/>
        <rFont val="Arial"/>
        <family val="2"/>
      </rPr>
      <t xml:space="preserve">1/ </t>
    </r>
    <r>
      <rPr>
        <sz val="9"/>
        <rFont val="Arial"/>
        <family val="2"/>
      </rPr>
      <t>Datos sujetos a modificación conforme a revisiones en las fuentes estadísticas.</t>
    </r>
  </si>
  <si>
    <r>
      <rPr>
        <vertAlign val="superscript"/>
        <sz val="9"/>
        <rFont val="Arial"/>
        <family val="2"/>
      </rPr>
      <t>2/</t>
    </r>
    <r>
      <rPr>
        <sz val="9"/>
        <rFont val="Arial"/>
        <family val="2"/>
      </rPr>
      <t xml:space="preserve"> ISFLSH, Instituciones Sin Fines de Lucro que Sirven a los Hogares.</t>
    </r>
  </si>
  <si>
    <t>Nota 1: La suma de las partes no necesariamente es igual al total, debido a las aproximaciones.</t>
  </si>
  <si>
    <t>Nota 2: Cifras calculadas bajo los lineamientos del manual del Sistema de Cuentas Nacionales 1993.</t>
  </si>
  <si>
    <t xml:space="preserve">CONSUMO INTERMEDIO </t>
  </si>
  <si>
    <t xml:space="preserve"> CONSUMO INTERMEDIO </t>
  </si>
  <si>
    <r>
      <t>SIFMI</t>
    </r>
    <r>
      <rPr>
        <b/>
        <vertAlign val="superscript"/>
        <sz val="11"/>
        <rFont val="Arial"/>
        <family val="2"/>
      </rPr>
      <t>3/</t>
    </r>
  </si>
  <si>
    <t>Servicios de Intermediación Financiera Medidos Indirectamente</t>
  </si>
  <si>
    <r>
      <rPr>
        <vertAlign val="superscript"/>
        <sz val="9"/>
        <rFont val="Arial"/>
        <family val="2"/>
      </rPr>
      <t>3/</t>
    </r>
    <r>
      <rPr>
        <sz val="9"/>
        <rFont val="Arial"/>
        <family val="2"/>
      </rPr>
      <t xml:space="preserve"> SIFMI, Servicios de Intermediación Financiera Medidos Indirectamente, no es un Sector Institucional; sin embargo, aparece como tal ya que no se dispone de información completa para su distribución entre dichos Sectores.</t>
    </r>
  </si>
  <si>
    <t xml:space="preserve">VALOR AGREGADO BRUTO </t>
  </si>
  <si>
    <t>( Estructura Porcentual Vertical  )</t>
  </si>
  <si>
    <t xml:space="preserve"> Sociedades No Financieras</t>
  </si>
  <si>
    <t xml:space="preserve"> Sociedades  Financieras</t>
  </si>
  <si>
    <t xml:space="preserve"> Gobierno        General</t>
  </si>
  <si>
    <t xml:space="preserve"> Hogares  </t>
  </si>
  <si>
    <t xml:space="preserve"> Economía Total</t>
  </si>
  <si>
    <t>Impuestos a los Productos</t>
  </si>
  <si>
    <t>Subvenciones a los Productos</t>
  </si>
  <si>
    <t>Márgen de Comercio</t>
  </si>
  <si>
    <t>Márgen de Transporte</t>
  </si>
  <si>
    <t>VAB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</si>
</sst>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#,##0.0"/>
    <numFmt numFmtId="166" formatCode="#,##0.0000000"/>
    <numFmt numFmtId="167" formatCode="0.0"/>
    <numFmt numFmtId="168" formatCode="0.0%"/>
    <numFmt numFmtId="169" formatCode="_([$€-2]\ * #,##0.00_);_([$€-2]\ * \(#,##0.00\);_([$€-2]\ * &quot;-&quot;??_)"/>
  </numFmts>
  <fonts count="22" x14ac:knownFonts="1">
    <font>
      <sz val="11"/>
      <name val="Arial"/>
    </font>
    <font>
      <sz val="11"/>
      <name val="Arial"/>
    </font>
    <font>
      <sz val="10"/>
      <name val="Arial"/>
      <family val="2"/>
    </font>
    <font>
      <u/>
      <sz val="7.5"/>
      <color indexed="12"/>
      <name val="Arial"/>
      <family val="2"/>
    </font>
    <font>
      <b/>
      <sz val="11"/>
      <name val="Verdana"/>
      <family val="2"/>
    </font>
    <font>
      <sz val="10"/>
      <name val="Verdana"/>
      <family val="2"/>
    </font>
    <font>
      <b/>
      <sz val="10"/>
      <name val="Arial"/>
      <family val="2"/>
    </font>
    <font>
      <b/>
      <sz val="12"/>
      <color indexed="62"/>
      <name val="Verdana"/>
      <family val="2"/>
    </font>
    <font>
      <u/>
      <sz val="10"/>
      <color indexed="12"/>
      <name val="Verdana"/>
      <family val="2"/>
    </font>
    <font>
      <sz val="11"/>
      <name val="Arial"/>
      <family val="2"/>
    </font>
    <font>
      <u/>
      <sz val="12"/>
      <color indexed="12"/>
      <name val="Arial"/>
      <family val="2"/>
    </font>
    <font>
      <sz val="9"/>
      <name val="Arial"/>
      <family val="2"/>
    </font>
    <font>
      <vertAlign val="superscript"/>
      <sz val="9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sz val="11"/>
      <color indexed="9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8"/>
      <name val="Arial"/>
      <family val="2"/>
    </font>
    <font>
      <sz val="9"/>
      <name val="Verdana"/>
      <family val="2"/>
    </font>
    <font>
      <sz val="11"/>
      <color theme="0"/>
      <name val="Arial"/>
      <family val="2"/>
    </font>
    <font>
      <b/>
      <sz val="9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8">
    <xf numFmtId="0" fontId="0" fillId="0" borderId="0"/>
    <xf numFmtId="169" fontId="2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2" fillId="0" borderId="0" xfId="5"/>
    <xf numFmtId="0" fontId="4" fillId="0" borderId="0" xfId="5" applyFont="1"/>
    <xf numFmtId="3" fontId="2" fillId="0" borderId="0" xfId="5" applyNumberFormat="1"/>
    <xf numFmtId="0" fontId="4" fillId="0" borderId="0" xfId="5" applyFont="1" applyAlignment="1">
      <alignment horizontal="center"/>
    </xf>
    <xf numFmtId="0" fontId="2" fillId="0" borderId="0" xfId="4"/>
    <xf numFmtId="0" fontId="5" fillId="0" borderId="0" xfId="4" applyFont="1"/>
    <xf numFmtId="0" fontId="7" fillId="2" borderId="0" xfId="0" applyFont="1" applyFill="1" applyAlignment="1">
      <alignment horizontal="left"/>
    </xf>
    <xf numFmtId="0" fontId="8" fillId="0" borderId="0" xfId="2" applyFont="1" applyAlignment="1" applyProtection="1"/>
    <xf numFmtId="0" fontId="10" fillId="0" borderId="0" xfId="2" applyFont="1" applyAlignment="1" applyProtection="1"/>
    <xf numFmtId="0" fontId="13" fillId="0" borderId="0" xfId="5" applyFont="1"/>
    <xf numFmtId="0" fontId="13" fillId="0" borderId="0" xfId="5" applyFont="1" applyAlignment="1">
      <alignment vertical="center" wrapText="1"/>
    </xf>
    <xf numFmtId="0" fontId="9" fillId="0" borderId="0" xfId="5" applyFont="1"/>
    <xf numFmtId="0" fontId="13" fillId="0" borderId="0" xfId="5" applyFont="1" applyAlignment="1">
      <alignment horizontal="center" vertical="center" wrapText="1"/>
    </xf>
    <xf numFmtId="0" fontId="9" fillId="0" borderId="0" xfId="5" applyFont="1" applyAlignment="1">
      <alignment vertical="center" wrapText="1"/>
    </xf>
    <xf numFmtId="0" fontId="13" fillId="0" borderId="1" xfId="5" applyFont="1" applyBorder="1" applyAlignment="1">
      <alignment horizontal="right" vertical="center"/>
    </xf>
    <xf numFmtId="0" fontId="13" fillId="0" borderId="2" xfId="5" applyFont="1" applyBorder="1" applyAlignment="1">
      <alignment horizontal="left" vertical="center"/>
    </xf>
    <xf numFmtId="0" fontId="9" fillId="0" borderId="0" xfId="5" applyFont="1" applyAlignment="1">
      <alignment horizontal="center" vertical="center" wrapText="1"/>
    </xf>
    <xf numFmtId="3" fontId="9" fillId="0" borderId="0" xfId="5" applyNumberFormat="1" applyFont="1" applyAlignment="1">
      <alignment vertical="center"/>
    </xf>
    <xf numFmtId="3" fontId="15" fillId="0" borderId="0" xfId="5" applyNumberFormat="1" applyFont="1" applyAlignment="1">
      <alignment vertical="center"/>
    </xf>
    <xf numFmtId="167" fontId="9" fillId="0" borderId="0" xfId="5" applyNumberFormat="1" applyFont="1" applyAlignment="1">
      <alignment vertical="center"/>
    </xf>
    <xf numFmtId="167" fontId="15" fillId="0" borderId="0" xfId="5" applyNumberFormat="1" applyFont="1" applyAlignment="1">
      <alignment vertical="center"/>
    </xf>
    <xf numFmtId="0" fontId="9" fillId="0" borderId="0" xfId="5" applyFont="1" applyAlignment="1">
      <alignment vertical="center"/>
    </xf>
    <xf numFmtId="0" fontId="13" fillId="0" borderId="3" xfId="5" applyFont="1" applyBorder="1" applyAlignment="1">
      <alignment vertical="center" wrapText="1"/>
    </xf>
    <xf numFmtId="165" fontId="13" fillId="0" borderId="3" xfId="5" applyNumberFormat="1" applyFont="1" applyBorder="1" applyAlignment="1">
      <alignment vertical="center" wrapText="1"/>
    </xf>
    <xf numFmtId="167" fontId="13" fillId="0" borderId="3" xfId="5" applyNumberFormat="1" applyFont="1" applyBorder="1" applyAlignment="1">
      <alignment vertical="center" wrapText="1"/>
    </xf>
    <xf numFmtId="0" fontId="11" fillId="0" borderId="0" xfId="5" applyFont="1"/>
    <xf numFmtId="3" fontId="16" fillId="0" borderId="0" xfId="5" applyNumberFormat="1" applyFont="1"/>
    <xf numFmtId="0" fontId="11" fillId="0" borderId="0" xfId="5" applyFont="1" applyAlignment="1">
      <alignment vertical="center" wrapText="1"/>
    </xf>
    <xf numFmtId="0" fontId="11" fillId="0" borderId="0" xfId="6" applyFont="1" applyAlignment="1">
      <alignment horizontal="left"/>
    </xf>
    <xf numFmtId="0" fontId="11" fillId="0" borderId="0" xfId="6" applyFont="1"/>
    <xf numFmtId="3" fontId="9" fillId="0" borderId="0" xfId="5" applyNumberFormat="1" applyFont="1"/>
    <xf numFmtId="3" fontId="17" fillId="0" borderId="0" xfId="5" applyNumberFormat="1" applyFont="1"/>
    <xf numFmtId="167" fontId="2" fillId="0" borderId="0" xfId="5" applyNumberFormat="1"/>
    <xf numFmtId="10" fontId="2" fillId="0" borderId="0" xfId="7" applyNumberFormat="1" applyFont="1"/>
    <xf numFmtId="167" fontId="20" fillId="0" borderId="0" xfId="5" applyNumberFormat="1" applyFont="1" applyAlignment="1">
      <alignment vertical="center"/>
    </xf>
    <xf numFmtId="164" fontId="9" fillId="0" borderId="0" xfId="3" applyFont="1" applyAlignment="1">
      <alignment vertical="center"/>
    </xf>
    <xf numFmtId="0" fontId="18" fillId="0" borderId="0" xfId="5" applyFont="1" applyAlignment="1">
      <alignment vertical="center" wrapText="1"/>
    </xf>
    <xf numFmtId="3" fontId="13" fillId="0" borderId="0" xfId="5" applyNumberFormat="1" applyFont="1" applyAlignment="1">
      <alignment vertical="center"/>
    </xf>
    <xf numFmtId="3" fontId="20" fillId="0" borderId="0" xfId="5" applyNumberFormat="1" applyFont="1" applyAlignment="1">
      <alignment vertical="center"/>
    </xf>
    <xf numFmtId="0" fontId="13" fillId="0" borderId="0" xfId="5" applyFont="1" applyAlignment="1">
      <alignment vertical="center"/>
    </xf>
    <xf numFmtId="0" fontId="11" fillId="0" borderId="1" xfId="5" applyFont="1" applyBorder="1" applyAlignment="1">
      <alignment horizontal="left" wrapText="1"/>
    </xf>
    <xf numFmtId="164" fontId="16" fillId="0" borderId="0" xfId="3" applyFont="1"/>
    <xf numFmtId="0" fontId="11" fillId="0" borderId="0" xfId="5" applyFont="1" applyAlignment="1">
      <alignment wrapText="1"/>
    </xf>
    <xf numFmtId="0" fontId="11" fillId="0" borderId="0" xfId="0" applyFont="1" applyAlignment="1">
      <alignment wrapText="1"/>
    </xf>
    <xf numFmtId="168" fontId="16" fillId="0" borderId="0" xfId="5" applyNumberFormat="1" applyFont="1"/>
    <xf numFmtId="0" fontId="2" fillId="0" borderId="0" xfId="5" applyAlignment="1">
      <alignment vertical="center"/>
    </xf>
    <xf numFmtId="3" fontId="6" fillId="0" borderId="0" xfId="5" applyNumberFormat="1" applyFont="1" applyAlignment="1">
      <alignment vertical="center"/>
    </xf>
    <xf numFmtId="167" fontId="13" fillId="0" borderId="0" xfId="5" applyNumberFormat="1" applyFont="1" applyAlignment="1">
      <alignment vertical="center"/>
    </xf>
    <xf numFmtId="3" fontId="13" fillId="0" borderId="3" xfId="5" applyNumberFormat="1" applyFont="1" applyBorder="1" applyAlignment="1">
      <alignment vertical="center"/>
    </xf>
    <xf numFmtId="167" fontId="13" fillId="0" borderId="3" xfId="5" applyNumberFormat="1" applyFont="1" applyBorder="1" applyAlignment="1">
      <alignment vertical="center"/>
    </xf>
    <xf numFmtId="165" fontId="15" fillId="0" borderId="0" xfId="5" applyNumberFormat="1" applyFont="1" applyAlignment="1">
      <alignment vertical="center"/>
    </xf>
    <xf numFmtId="165" fontId="20" fillId="0" borderId="0" xfId="5" applyNumberFormat="1" applyFont="1" applyAlignment="1">
      <alignment vertical="center"/>
    </xf>
    <xf numFmtId="166" fontId="15" fillId="0" borderId="0" xfId="5" applyNumberFormat="1" applyFont="1" applyAlignment="1">
      <alignment vertical="center"/>
    </xf>
    <xf numFmtId="2" fontId="15" fillId="0" borderId="0" xfId="5" applyNumberFormat="1" applyFont="1" applyAlignment="1">
      <alignment vertical="center"/>
    </xf>
    <xf numFmtId="1" fontId="15" fillId="0" borderId="0" xfId="5" applyNumberFormat="1" applyFont="1" applyAlignment="1">
      <alignment vertical="center"/>
    </xf>
    <xf numFmtId="4" fontId="15" fillId="0" borderId="0" xfId="5" applyNumberFormat="1" applyFont="1" applyAlignment="1">
      <alignment vertical="center"/>
    </xf>
    <xf numFmtId="165" fontId="9" fillId="0" borderId="0" xfId="5" applyNumberFormat="1" applyFont="1" applyAlignment="1">
      <alignment vertical="center"/>
    </xf>
    <xf numFmtId="164" fontId="13" fillId="0" borderId="0" xfId="3" applyFont="1" applyAlignment="1">
      <alignment vertical="center"/>
    </xf>
    <xf numFmtId="165" fontId="13" fillId="0" borderId="3" xfId="5" applyNumberFormat="1" applyFont="1" applyBorder="1" applyAlignment="1">
      <alignment vertical="center"/>
    </xf>
    <xf numFmtId="0" fontId="19" fillId="0" borderId="0" xfId="5" applyFont="1" applyAlignment="1">
      <alignment horizontal="left" wrapText="1"/>
    </xf>
    <xf numFmtId="0" fontId="13" fillId="0" borderId="0" xfId="5" applyFont="1" applyAlignment="1">
      <alignment horizontal="center" vertical="center"/>
    </xf>
    <xf numFmtId="0" fontId="4" fillId="0" borderId="0" xfId="5" applyFont="1" applyAlignment="1">
      <alignment horizontal="center"/>
    </xf>
    <xf numFmtId="0" fontId="11" fillId="0" borderId="0" xfId="6" applyFont="1" applyAlignment="1">
      <alignment horizontal="left"/>
    </xf>
    <xf numFmtId="0" fontId="11" fillId="0" borderId="0" xfId="0" applyFont="1" applyAlignment="1">
      <alignment horizontal="left" vertical="center" wrapText="1"/>
    </xf>
    <xf numFmtId="0" fontId="13" fillId="0" borderId="0" xfId="5" applyFont="1" applyAlignment="1">
      <alignment horizontal="center"/>
    </xf>
    <xf numFmtId="0" fontId="11" fillId="0" borderId="0" xfId="5" applyFont="1" applyAlignment="1">
      <alignment horizontal="left" vertical="center" wrapText="1"/>
    </xf>
    <xf numFmtId="0" fontId="13" fillId="0" borderId="0" xfId="5" quotePrefix="1" applyFont="1" applyAlignment="1">
      <alignment horizontal="center" vertical="center"/>
    </xf>
    <xf numFmtId="0" fontId="9" fillId="0" borderId="0" xfId="5" applyFont="1" applyAlignment="1">
      <alignment horizontal="center" vertical="center" wrapText="1"/>
    </xf>
    <xf numFmtId="0" fontId="0" fillId="0" borderId="0" xfId="0" applyAlignment="1"/>
    <xf numFmtId="0" fontId="11" fillId="0" borderId="1" xfId="5" applyFont="1" applyBorder="1" applyAlignment="1">
      <alignment horizontal="left" wrapText="1"/>
    </xf>
    <xf numFmtId="0" fontId="11" fillId="0" borderId="0" xfId="6" applyFont="1" applyAlignment="1">
      <alignment horizontal="left"/>
    </xf>
    <xf numFmtId="0" fontId="4" fillId="0" borderId="0" xfId="5" applyFont="1" applyAlignment="1">
      <alignment horizontal="center"/>
    </xf>
    <xf numFmtId="0" fontId="13" fillId="0" borderId="0" xfId="5" applyFont="1" applyAlignment="1">
      <alignment horizontal="center" vertical="center"/>
    </xf>
    <xf numFmtId="0" fontId="13" fillId="0" borderId="0" xfId="5" applyFont="1" applyAlignment="1">
      <alignment horizontal="center" vertical="center" wrapText="1"/>
    </xf>
    <xf numFmtId="9" fontId="13" fillId="0" borderId="4" xfId="7" applyFont="1" applyBorder="1" applyAlignment="1">
      <alignment horizontal="center" vertical="center" wrapText="1"/>
    </xf>
    <xf numFmtId="9" fontId="9" fillId="0" borderId="5" xfId="7" applyFont="1" applyBorder="1" applyAlignment="1">
      <alignment vertical="center" wrapText="1"/>
    </xf>
    <xf numFmtId="9" fontId="13" fillId="0" borderId="1" xfId="7" applyFont="1" applyBorder="1" applyAlignment="1">
      <alignment horizontal="center" vertical="center" wrapText="1"/>
    </xf>
    <xf numFmtId="9" fontId="9" fillId="0" borderId="2" xfId="7" applyFont="1" applyBorder="1" applyAlignment="1">
      <alignment vertical="center" wrapText="1"/>
    </xf>
    <xf numFmtId="0" fontId="13" fillId="0" borderId="1" xfId="5" applyFont="1" applyBorder="1" applyAlignment="1">
      <alignment horizontal="center" vertical="center" wrapText="1"/>
    </xf>
    <xf numFmtId="0" fontId="9" fillId="0" borderId="2" xfId="5" applyFont="1" applyBorder="1" applyAlignment="1">
      <alignment horizontal="center" vertical="center" wrapText="1"/>
    </xf>
    <xf numFmtId="0" fontId="19" fillId="0" borderId="0" xfId="5" applyFont="1" applyAlignment="1">
      <alignment horizontal="left" wrapText="1"/>
    </xf>
    <xf numFmtId="0" fontId="11" fillId="0" borderId="0" xfId="0" applyFont="1" applyAlignment="1">
      <alignment horizontal="left" vertical="center" wrapText="1"/>
    </xf>
    <xf numFmtId="0" fontId="11" fillId="0" borderId="0" xfId="5" applyFont="1" applyAlignment="1">
      <alignment horizontal="left" vertical="center" wrapText="1"/>
    </xf>
    <xf numFmtId="9" fontId="13" fillId="0" borderId="2" xfId="7" applyFont="1" applyBorder="1" applyAlignment="1">
      <alignment horizontal="center" vertical="center" wrapText="1"/>
    </xf>
    <xf numFmtId="0" fontId="13" fillId="0" borderId="0" xfId="5" applyFont="1" applyAlignment="1">
      <alignment horizontal="center"/>
    </xf>
    <xf numFmtId="0" fontId="13" fillId="0" borderId="0" xfId="5" quotePrefix="1" applyFont="1" applyAlignment="1">
      <alignment horizontal="center"/>
    </xf>
    <xf numFmtId="9" fontId="13" fillId="0" borderId="5" xfId="7" applyFont="1" applyBorder="1" applyAlignment="1">
      <alignment horizontal="center" vertical="center" wrapText="1"/>
    </xf>
    <xf numFmtId="0" fontId="13" fillId="0" borderId="6" xfId="5" applyFont="1" applyBorder="1" applyAlignment="1">
      <alignment horizontal="center" vertical="center" wrapText="1"/>
    </xf>
    <xf numFmtId="0" fontId="13" fillId="0" borderId="6" xfId="5" applyFont="1" applyBorder="1" applyAlignment="1">
      <alignment horizontal="center"/>
    </xf>
    <xf numFmtId="0" fontId="13" fillId="0" borderId="0" xfId="5" quotePrefix="1" applyFont="1" applyAlignment="1">
      <alignment horizontal="center" vertical="center"/>
    </xf>
    <xf numFmtId="0" fontId="11" fillId="0" borderId="0" xfId="6" applyFont="1" applyAlignment="1">
      <alignment horizontal="left" vertical="center"/>
    </xf>
    <xf numFmtId="0" fontId="9" fillId="0" borderId="0" xfId="5" applyFont="1" applyAlignment="1">
      <alignment horizontal="center" vertical="center" wrapText="1"/>
    </xf>
    <xf numFmtId="0" fontId="13" fillId="0" borderId="2" xfId="5" applyFont="1" applyBorder="1" applyAlignment="1">
      <alignment horizontal="center" vertical="center" wrapText="1"/>
    </xf>
    <xf numFmtId="0" fontId="19" fillId="0" borderId="0" xfId="5" applyFont="1" applyAlignment="1">
      <alignment horizontal="left" vertical="center" wrapText="1"/>
    </xf>
    <xf numFmtId="0" fontId="13" fillId="0" borderId="0" xfId="5" applyFont="1" applyBorder="1" applyAlignment="1">
      <alignment horizontal="center" vertical="center" wrapText="1"/>
    </xf>
    <xf numFmtId="3" fontId="13" fillId="0" borderId="0" xfId="5" applyNumberFormat="1" applyFont="1" applyBorder="1" applyAlignment="1">
      <alignment vertical="center"/>
    </xf>
    <xf numFmtId="0" fontId="9" fillId="0" borderId="0" xfId="5" applyFont="1" applyBorder="1" applyAlignment="1">
      <alignment horizontal="center" vertical="center" wrapText="1"/>
    </xf>
    <xf numFmtId="0" fontId="19" fillId="0" borderId="0" xfId="5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0" xfId="6" applyFont="1" applyAlignment="1">
      <alignment vertical="center"/>
    </xf>
    <xf numFmtId="0" fontId="16" fillId="0" borderId="0" xfId="5" applyFont="1" applyAlignment="1">
      <alignment vertical="center" wrapText="1"/>
    </xf>
    <xf numFmtId="0" fontId="16" fillId="0" borderId="0" xfId="6" applyFont="1" applyAlignment="1">
      <alignment vertical="center"/>
    </xf>
    <xf numFmtId="0" fontId="16" fillId="0" borderId="0" xfId="0" applyFont="1" applyAlignment="1">
      <alignment vertical="center" wrapText="1"/>
    </xf>
    <xf numFmtId="0" fontId="21" fillId="0" borderId="0" xfId="5" applyFont="1" applyAlignment="1">
      <alignment vertical="center" wrapText="1"/>
    </xf>
    <xf numFmtId="3" fontId="21" fillId="0" borderId="0" xfId="5" applyNumberFormat="1" applyFont="1" applyAlignment="1">
      <alignment vertical="center" wrapText="1"/>
    </xf>
  </cellXfs>
  <cellStyles count="8">
    <cellStyle name="Comma" xfId="3" builtinId="3"/>
    <cellStyle name="Euro" xfId="1" xr:uid="{00000000-0005-0000-0000-000001000000}"/>
    <cellStyle name="Hyperlink" xfId="2" builtinId="8"/>
    <cellStyle name="Normal" xfId="0" builtinId="0"/>
    <cellStyle name="Normal_Anexo II.1" xfId="4" xr:uid="{00000000-0005-0000-0000-000004000000}"/>
    <cellStyle name="Normal_CCIS05" xfId="5" xr:uid="{00000000-0005-0000-0000-000005000000}"/>
    <cellStyle name="Normal_Cuadro No(1). 1contribuciones" xfId="6" xr:uid="{00000000-0005-0000-0000-000006000000}"/>
    <cellStyle name="Percent" xfId="7" builtinId="5"/>
  </cellStyles>
  <dxfs count="2">
    <dxf>
      <fill>
        <patternFill>
          <bgColor indexed="8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C66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1971675</xdr:colOff>
      <xdr:row>1</xdr:row>
      <xdr:rowOff>95250</xdr:rowOff>
    </xdr:from>
    <xdr:to>
      <xdr:col>8</xdr:col>
      <xdr:colOff>342900</xdr:colOff>
      <xdr:row>8</xdr:row>
      <xdr:rowOff>133350</xdr:rowOff>
    </xdr:to>
    <xdr:sp macro="" textlink="">
      <xdr:nvSpPr>
        <xdr:cNvPr id="69634" name="Rectangle 2">
          <a:extLst>
            <a:ext uri="{FF2B5EF4-FFF2-40B4-BE49-F238E27FC236}">
              <a16:creationId xmlns:a16="http://schemas.microsoft.com/office/drawing/2014/main" id="{307B4540-BA8D-453E-A2F6-288AEA0741F1}"/>
            </a:ext>
          </a:extLst>
        </xdr:cNvPr>
        <xdr:cNvSpPr>
          <a:spLocks noChangeArrowheads="1"/>
        </xdr:cNvSpPr>
      </xdr:nvSpPr>
      <xdr:spPr bwMode="auto">
        <a:xfrm>
          <a:off x="3076575" y="257175"/>
          <a:ext cx="6324600" cy="1171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32004" rIns="54864" bIns="0" anchor="t" upright="1"/>
        <a:lstStyle/>
        <a:p>
          <a:pPr algn="ctr" rtl="0">
            <a:defRPr sz="1000"/>
          </a:pPr>
          <a:r>
            <a:rPr lang="es-ES" sz="2000" b="0" i="0" strike="noStrike">
              <a:solidFill>
                <a:schemeClr val="tx2"/>
              </a:solidFill>
              <a:latin typeface="Verdana"/>
            </a:rPr>
            <a:t>CLASIFICACIÓN CRUZADA INDUSTRIA SECTOR INSTITUCIONAL </a:t>
          </a:r>
        </a:p>
        <a:p>
          <a:pPr algn="ctr" rtl="0">
            <a:defRPr sz="1000"/>
          </a:pPr>
          <a:r>
            <a:rPr lang="es-ES" sz="2000" b="0" i="0" strike="noStrike">
              <a:solidFill>
                <a:schemeClr val="tx2"/>
              </a:solidFill>
              <a:latin typeface="Verdana"/>
            </a:rPr>
            <a:t>2019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7</xdr:row>
      <xdr:rowOff>9525</xdr:rowOff>
    </xdr:from>
    <xdr:to>
      <xdr:col>9</xdr:col>
      <xdr:colOff>0</xdr:colOff>
      <xdr:row>8</xdr:row>
      <xdr:rowOff>314325</xdr:rowOff>
    </xdr:to>
    <xdr:sp macro="" textlink="">
      <xdr:nvSpPr>
        <xdr:cNvPr id="83655" name="Line 2">
          <a:extLst>
            <a:ext uri="{FF2B5EF4-FFF2-40B4-BE49-F238E27FC236}">
              <a16:creationId xmlns:a16="http://schemas.microsoft.com/office/drawing/2014/main" id="{BBC34069-ED27-46B5-8499-CC979A611027}"/>
            </a:ext>
          </a:extLst>
        </xdr:cNvPr>
        <xdr:cNvSpPr>
          <a:spLocks noChangeShapeType="1"/>
        </xdr:cNvSpPr>
      </xdr:nvSpPr>
      <xdr:spPr bwMode="auto">
        <a:xfrm>
          <a:off x="11144250" y="1638300"/>
          <a:ext cx="4419600" cy="504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28575</xdr:colOff>
      <xdr:row>7</xdr:row>
      <xdr:rowOff>9525</xdr:rowOff>
    </xdr:from>
    <xdr:to>
      <xdr:col>17</xdr:col>
      <xdr:colOff>0</xdr:colOff>
      <xdr:row>9</xdr:row>
      <xdr:rowOff>0</xdr:rowOff>
    </xdr:to>
    <xdr:sp macro="" textlink="">
      <xdr:nvSpPr>
        <xdr:cNvPr id="83656" name="Line 5">
          <a:extLst>
            <a:ext uri="{FF2B5EF4-FFF2-40B4-BE49-F238E27FC236}">
              <a16:creationId xmlns:a16="http://schemas.microsoft.com/office/drawing/2014/main" id="{F32934BD-978A-4357-8081-C76107264781}"/>
            </a:ext>
          </a:extLst>
        </xdr:cNvPr>
        <xdr:cNvSpPr>
          <a:spLocks noChangeShapeType="1"/>
        </xdr:cNvSpPr>
      </xdr:nvSpPr>
      <xdr:spPr bwMode="auto">
        <a:xfrm>
          <a:off x="22078950" y="1638300"/>
          <a:ext cx="4448175" cy="504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4429125</xdr:colOff>
      <xdr:row>9</xdr:row>
      <xdr:rowOff>9525</xdr:rowOff>
    </xdr:to>
    <xdr:sp macro="" textlink="">
      <xdr:nvSpPr>
        <xdr:cNvPr id="83657" name="Line 8">
          <a:extLst>
            <a:ext uri="{FF2B5EF4-FFF2-40B4-BE49-F238E27FC236}">
              <a16:creationId xmlns:a16="http://schemas.microsoft.com/office/drawing/2014/main" id="{A2979C51-A30B-438F-925B-9ED2C881DF67}"/>
            </a:ext>
          </a:extLst>
        </xdr:cNvPr>
        <xdr:cNvSpPr>
          <a:spLocks noChangeShapeType="1"/>
        </xdr:cNvSpPr>
      </xdr:nvSpPr>
      <xdr:spPr bwMode="auto">
        <a:xfrm>
          <a:off x="0" y="1628775"/>
          <a:ext cx="4429125" cy="523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16</xdr:col>
      <xdr:colOff>57150</xdr:colOff>
      <xdr:row>0</xdr:row>
      <xdr:rowOff>38100</xdr:rowOff>
    </xdr:from>
    <xdr:to>
      <xdr:col>22</xdr:col>
      <xdr:colOff>1028700</xdr:colOff>
      <xdr:row>3</xdr:row>
      <xdr:rowOff>9525</xdr:rowOff>
    </xdr:to>
    <xdr:pic>
      <xdr:nvPicPr>
        <xdr:cNvPr id="83658" name="Picture 18">
          <a:extLst>
            <a:ext uri="{FF2B5EF4-FFF2-40B4-BE49-F238E27FC236}">
              <a16:creationId xmlns:a16="http://schemas.microsoft.com/office/drawing/2014/main" id="{7BC7AC3A-105C-4335-A8A6-AC6BFD4CB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07525" y="38100"/>
          <a:ext cx="10734675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1371600</xdr:colOff>
      <xdr:row>1</xdr:row>
      <xdr:rowOff>9525</xdr:rowOff>
    </xdr:from>
    <xdr:to>
      <xdr:col>0</xdr:col>
      <xdr:colOff>2924175</xdr:colOff>
      <xdr:row>2</xdr:row>
      <xdr:rowOff>0</xdr:rowOff>
    </xdr:to>
    <xdr:pic>
      <xdr:nvPicPr>
        <xdr:cNvPr id="83659" name="Picture 20">
          <a:extLst>
            <a:ext uri="{FF2B5EF4-FFF2-40B4-BE49-F238E27FC236}">
              <a16:creationId xmlns:a16="http://schemas.microsoft.com/office/drawing/2014/main" id="{28447511-ADF2-4C6A-ADA7-4213DE13F1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209550"/>
          <a:ext cx="15525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1304925</xdr:colOff>
      <xdr:row>1</xdr:row>
      <xdr:rowOff>19050</xdr:rowOff>
    </xdr:from>
    <xdr:to>
      <xdr:col>8</xdr:col>
      <xdr:colOff>2867025</xdr:colOff>
      <xdr:row>2</xdr:row>
      <xdr:rowOff>9525</xdr:rowOff>
    </xdr:to>
    <xdr:pic>
      <xdr:nvPicPr>
        <xdr:cNvPr id="83660" name="Picture 22">
          <a:extLst>
            <a:ext uri="{FF2B5EF4-FFF2-40B4-BE49-F238E27FC236}">
              <a16:creationId xmlns:a16="http://schemas.microsoft.com/office/drawing/2014/main" id="{736CB585-E316-4577-B711-F224645E0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1550" y="219075"/>
          <a:ext cx="15621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1333500</xdr:colOff>
      <xdr:row>0</xdr:row>
      <xdr:rowOff>171450</xdr:rowOff>
    </xdr:from>
    <xdr:to>
      <xdr:col>16</xdr:col>
      <xdr:colOff>2886075</xdr:colOff>
      <xdr:row>1</xdr:row>
      <xdr:rowOff>161925</xdr:rowOff>
    </xdr:to>
    <xdr:pic>
      <xdr:nvPicPr>
        <xdr:cNvPr id="83661" name="Picture 25">
          <a:extLst>
            <a:ext uri="{FF2B5EF4-FFF2-40B4-BE49-F238E27FC236}">
              <a16:creationId xmlns:a16="http://schemas.microsoft.com/office/drawing/2014/main" id="{40B075F6-7DB8-4C1E-A34F-636D48408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83875" y="171450"/>
          <a:ext cx="15525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38100</xdr:colOff>
      <xdr:row>0</xdr:row>
      <xdr:rowOff>9525</xdr:rowOff>
    </xdr:from>
    <xdr:to>
      <xdr:col>16</xdr:col>
      <xdr:colOff>733425</xdr:colOff>
      <xdr:row>3</xdr:row>
      <xdr:rowOff>38100</xdr:rowOff>
    </xdr:to>
    <xdr:pic>
      <xdr:nvPicPr>
        <xdr:cNvPr id="83662" name="16 Imagen" descr="Descripción: C:\Users\bd104055\AppData\Local\Microsoft\Windows\Temporary Internet Files\Content.IE5\EXFTHCCQ\logos%20negros[1].png">
          <a:extLst>
            <a:ext uri="{FF2B5EF4-FFF2-40B4-BE49-F238E27FC236}">
              <a16:creationId xmlns:a16="http://schemas.microsoft.com/office/drawing/2014/main" id="{F52F6086-ADC8-4074-A966-67182DBB37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88475" y="9525"/>
          <a:ext cx="695325" cy="62865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38100</xdr:rowOff>
    </xdr:from>
    <xdr:to>
      <xdr:col>1</xdr:col>
      <xdr:colOff>0</xdr:colOff>
      <xdr:row>9</xdr:row>
      <xdr:rowOff>0</xdr:rowOff>
    </xdr:to>
    <xdr:sp macro="" textlink="">
      <xdr:nvSpPr>
        <xdr:cNvPr id="84830" name="Line 1">
          <a:extLst>
            <a:ext uri="{FF2B5EF4-FFF2-40B4-BE49-F238E27FC236}">
              <a16:creationId xmlns:a16="http://schemas.microsoft.com/office/drawing/2014/main" id="{C26A5CAF-81B0-41DD-9449-DA0EFF15542F}"/>
            </a:ext>
          </a:extLst>
        </xdr:cNvPr>
        <xdr:cNvSpPr>
          <a:spLocks noChangeShapeType="1"/>
        </xdr:cNvSpPr>
      </xdr:nvSpPr>
      <xdr:spPr bwMode="auto">
        <a:xfrm>
          <a:off x="0" y="1666875"/>
          <a:ext cx="447675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47625</xdr:colOff>
      <xdr:row>0</xdr:row>
      <xdr:rowOff>0</xdr:rowOff>
    </xdr:from>
    <xdr:to>
      <xdr:col>11</xdr:col>
      <xdr:colOff>0</xdr:colOff>
      <xdr:row>0</xdr:row>
      <xdr:rowOff>0</xdr:rowOff>
    </xdr:to>
    <xdr:sp macro="" textlink="">
      <xdr:nvSpPr>
        <xdr:cNvPr id="84831" name="Line 2">
          <a:extLst>
            <a:ext uri="{FF2B5EF4-FFF2-40B4-BE49-F238E27FC236}">
              <a16:creationId xmlns:a16="http://schemas.microsoft.com/office/drawing/2014/main" id="{26BD4B3D-4F86-4E15-801A-8989077E8B64}"/>
            </a:ext>
          </a:extLst>
        </xdr:cNvPr>
        <xdr:cNvSpPr>
          <a:spLocks noChangeShapeType="1"/>
        </xdr:cNvSpPr>
      </xdr:nvSpPr>
      <xdr:spPr bwMode="auto">
        <a:xfrm>
          <a:off x="12182475" y="0"/>
          <a:ext cx="4429125" cy="0"/>
        </a:xfrm>
        <a:prstGeom prst="line">
          <a:avLst/>
        </a:prstGeom>
        <a:noFill/>
        <a:ln w="9525">
          <a:solidFill>
            <a:srgbClr val="3333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28575</xdr:colOff>
      <xdr:row>7</xdr:row>
      <xdr:rowOff>38100</xdr:rowOff>
    </xdr:from>
    <xdr:to>
      <xdr:col>11</xdr:col>
      <xdr:colOff>28575</xdr:colOff>
      <xdr:row>8</xdr:row>
      <xdr:rowOff>247650</xdr:rowOff>
    </xdr:to>
    <xdr:sp macro="" textlink="">
      <xdr:nvSpPr>
        <xdr:cNvPr id="84832" name="Line 3">
          <a:extLst>
            <a:ext uri="{FF2B5EF4-FFF2-40B4-BE49-F238E27FC236}">
              <a16:creationId xmlns:a16="http://schemas.microsoft.com/office/drawing/2014/main" id="{96EC45AA-8A9C-41FD-B1F9-B71BB75E58C7}"/>
            </a:ext>
          </a:extLst>
        </xdr:cNvPr>
        <xdr:cNvSpPr>
          <a:spLocks noChangeShapeType="1"/>
        </xdr:cNvSpPr>
      </xdr:nvSpPr>
      <xdr:spPr bwMode="auto">
        <a:xfrm>
          <a:off x="12163425" y="1666875"/>
          <a:ext cx="4476750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28575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84833" name="Line 5">
          <a:extLst>
            <a:ext uri="{FF2B5EF4-FFF2-40B4-BE49-F238E27FC236}">
              <a16:creationId xmlns:a16="http://schemas.microsoft.com/office/drawing/2014/main" id="{A2EC8C8F-AA00-4A96-941A-C0499518C4F7}"/>
            </a:ext>
          </a:extLst>
        </xdr:cNvPr>
        <xdr:cNvSpPr>
          <a:spLocks noChangeShapeType="1"/>
        </xdr:cNvSpPr>
      </xdr:nvSpPr>
      <xdr:spPr bwMode="auto">
        <a:xfrm>
          <a:off x="24174450" y="0"/>
          <a:ext cx="4448175" cy="0"/>
        </a:xfrm>
        <a:prstGeom prst="line">
          <a:avLst/>
        </a:prstGeom>
        <a:noFill/>
        <a:ln w="9525">
          <a:solidFill>
            <a:srgbClr val="3333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28575</xdr:colOff>
      <xdr:row>6</xdr:row>
      <xdr:rowOff>257175</xdr:rowOff>
    </xdr:from>
    <xdr:to>
      <xdr:col>20</xdr:col>
      <xdr:colOff>28575</xdr:colOff>
      <xdr:row>8</xdr:row>
      <xdr:rowOff>257175</xdr:rowOff>
    </xdr:to>
    <xdr:sp macro="" textlink="">
      <xdr:nvSpPr>
        <xdr:cNvPr id="84834" name="Line 6">
          <a:extLst>
            <a:ext uri="{FF2B5EF4-FFF2-40B4-BE49-F238E27FC236}">
              <a16:creationId xmlns:a16="http://schemas.microsoft.com/office/drawing/2014/main" id="{96221764-8918-403A-BDC5-E5C1F780D2A7}"/>
            </a:ext>
          </a:extLst>
        </xdr:cNvPr>
        <xdr:cNvSpPr>
          <a:spLocks noChangeShapeType="1"/>
        </xdr:cNvSpPr>
      </xdr:nvSpPr>
      <xdr:spPr bwMode="auto">
        <a:xfrm>
          <a:off x="24174450" y="1628775"/>
          <a:ext cx="4476750" cy="514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4835" name="Line 8">
          <a:extLst>
            <a:ext uri="{FF2B5EF4-FFF2-40B4-BE49-F238E27FC236}">
              <a16:creationId xmlns:a16="http://schemas.microsoft.com/office/drawing/2014/main" id="{F5184EF6-47FA-4FF4-9656-8F7798DE5940}"/>
            </a:ext>
          </a:extLst>
        </xdr:cNvPr>
        <xdr:cNvSpPr>
          <a:spLocks noChangeShapeType="1"/>
        </xdr:cNvSpPr>
      </xdr:nvSpPr>
      <xdr:spPr bwMode="auto">
        <a:xfrm>
          <a:off x="28575" y="0"/>
          <a:ext cx="4448175" cy="0"/>
        </a:xfrm>
        <a:prstGeom prst="line">
          <a:avLst/>
        </a:prstGeom>
        <a:noFill/>
        <a:ln w="9525">
          <a:solidFill>
            <a:srgbClr val="3333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19</xdr:col>
      <xdr:colOff>57150</xdr:colOff>
      <xdr:row>0</xdr:row>
      <xdr:rowOff>19050</xdr:rowOff>
    </xdr:from>
    <xdr:to>
      <xdr:col>26</xdr:col>
      <xdr:colOff>1009650</xdr:colOff>
      <xdr:row>3</xdr:row>
      <xdr:rowOff>28575</xdr:rowOff>
    </xdr:to>
    <xdr:pic>
      <xdr:nvPicPr>
        <xdr:cNvPr id="84836" name="Picture 13">
          <a:extLst>
            <a:ext uri="{FF2B5EF4-FFF2-40B4-BE49-F238E27FC236}">
              <a16:creationId xmlns:a16="http://schemas.microsoft.com/office/drawing/2014/main" id="{74643D59-1FB6-41B9-B5E2-2E7D75F1F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03025" y="19050"/>
          <a:ext cx="117729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1266825</xdr:colOff>
      <xdr:row>0</xdr:row>
      <xdr:rowOff>180975</xdr:rowOff>
    </xdr:from>
    <xdr:to>
      <xdr:col>19</xdr:col>
      <xdr:colOff>2819400</xdr:colOff>
      <xdr:row>1</xdr:row>
      <xdr:rowOff>171450</xdr:rowOff>
    </xdr:to>
    <xdr:pic>
      <xdr:nvPicPr>
        <xdr:cNvPr id="84837" name="Picture 20">
          <a:extLst>
            <a:ext uri="{FF2B5EF4-FFF2-40B4-BE49-F238E27FC236}">
              <a16:creationId xmlns:a16="http://schemas.microsoft.com/office/drawing/2014/main" id="{75F2BBA8-4B18-4625-B1C7-A9B4F94FD0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180975"/>
          <a:ext cx="15525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38100</xdr:colOff>
      <xdr:row>0</xdr:row>
      <xdr:rowOff>0</xdr:rowOff>
    </xdr:from>
    <xdr:to>
      <xdr:col>19</xdr:col>
      <xdr:colOff>762000</xdr:colOff>
      <xdr:row>3</xdr:row>
      <xdr:rowOff>28575</xdr:rowOff>
    </xdr:to>
    <xdr:pic>
      <xdr:nvPicPr>
        <xdr:cNvPr id="84838" name="19 Imagen" descr="Descripción: C:\Users\bd104055\AppData\Local\Microsoft\Windows\Temporary Internet Files\Content.IE5\EXFTHCCQ\logos%20negros[1].png">
          <a:extLst>
            <a:ext uri="{FF2B5EF4-FFF2-40B4-BE49-F238E27FC236}">
              <a16:creationId xmlns:a16="http://schemas.microsoft.com/office/drawing/2014/main" id="{0F056F3D-46C3-4C89-A0E3-90D632CE89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83975" y="0"/>
          <a:ext cx="723900" cy="62865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0</xdr:rowOff>
    </xdr:from>
    <xdr:to>
      <xdr:col>11</xdr:col>
      <xdr:colOff>0</xdr:colOff>
      <xdr:row>0</xdr:row>
      <xdr:rowOff>0</xdr:rowOff>
    </xdr:to>
    <xdr:sp macro="" textlink="">
      <xdr:nvSpPr>
        <xdr:cNvPr id="85837" name="Line 2">
          <a:extLst>
            <a:ext uri="{FF2B5EF4-FFF2-40B4-BE49-F238E27FC236}">
              <a16:creationId xmlns:a16="http://schemas.microsoft.com/office/drawing/2014/main" id="{E47EE465-4968-4D91-B68C-00B9F40E1D86}"/>
            </a:ext>
          </a:extLst>
        </xdr:cNvPr>
        <xdr:cNvSpPr>
          <a:spLocks noChangeShapeType="1"/>
        </xdr:cNvSpPr>
      </xdr:nvSpPr>
      <xdr:spPr bwMode="auto">
        <a:xfrm>
          <a:off x="12420600" y="0"/>
          <a:ext cx="4429125" cy="0"/>
        </a:xfrm>
        <a:prstGeom prst="line">
          <a:avLst/>
        </a:prstGeom>
        <a:noFill/>
        <a:ln w="9525">
          <a:solidFill>
            <a:srgbClr val="3333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38100</xdr:colOff>
      <xdr:row>7</xdr:row>
      <xdr:rowOff>38100</xdr:rowOff>
    </xdr:from>
    <xdr:to>
      <xdr:col>11</xdr:col>
      <xdr:colOff>0</xdr:colOff>
      <xdr:row>9</xdr:row>
      <xdr:rowOff>0</xdr:rowOff>
    </xdr:to>
    <xdr:sp macro="" textlink="">
      <xdr:nvSpPr>
        <xdr:cNvPr id="85838" name="Line 4">
          <a:extLst>
            <a:ext uri="{FF2B5EF4-FFF2-40B4-BE49-F238E27FC236}">
              <a16:creationId xmlns:a16="http://schemas.microsoft.com/office/drawing/2014/main" id="{8B3708E1-E9B9-4407-8353-888681B380B3}"/>
            </a:ext>
          </a:extLst>
        </xdr:cNvPr>
        <xdr:cNvSpPr>
          <a:spLocks noChangeShapeType="1"/>
        </xdr:cNvSpPr>
      </xdr:nvSpPr>
      <xdr:spPr bwMode="auto">
        <a:xfrm>
          <a:off x="12411075" y="1666875"/>
          <a:ext cx="4438650" cy="504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28575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85839" name="Line 5">
          <a:extLst>
            <a:ext uri="{FF2B5EF4-FFF2-40B4-BE49-F238E27FC236}">
              <a16:creationId xmlns:a16="http://schemas.microsoft.com/office/drawing/2014/main" id="{1CA4216B-0DEF-49DF-98C6-7F68009CCB12}"/>
            </a:ext>
          </a:extLst>
        </xdr:cNvPr>
        <xdr:cNvSpPr>
          <a:spLocks noChangeShapeType="1"/>
        </xdr:cNvSpPr>
      </xdr:nvSpPr>
      <xdr:spPr bwMode="auto">
        <a:xfrm>
          <a:off x="24412575" y="0"/>
          <a:ext cx="4448175" cy="0"/>
        </a:xfrm>
        <a:prstGeom prst="line">
          <a:avLst/>
        </a:prstGeom>
        <a:noFill/>
        <a:ln w="9525">
          <a:solidFill>
            <a:srgbClr val="3333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28575</xdr:colOff>
      <xdr:row>7</xdr:row>
      <xdr:rowOff>28575</xdr:rowOff>
    </xdr:from>
    <xdr:to>
      <xdr:col>20</xdr:col>
      <xdr:colOff>0</xdr:colOff>
      <xdr:row>9</xdr:row>
      <xdr:rowOff>0</xdr:rowOff>
    </xdr:to>
    <xdr:sp macro="" textlink="">
      <xdr:nvSpPr>
        <xdr:cNvPr id="85840" name="Line 7">
          <a:extLst>
            <a:ext uri="{FF2B5EF4-FFF2-40B4-BE49-F238E27FC236}">
              <a16:creationId xmlns:a16="http://schemas.microsoft.com/office/drawing/2014/main" id="{E55283BE-CA44-442E-96B1-98C340C7773A}"/>
            </a:ext>
          </a:extLst>
        </xdr:cNvPr>
        <xdr:cNvSpPr>
          <a:spLocks noChangeShapeType="1"/>
        </xdr:cNvSpPr>
      </xdr:nvSpPr>
      <xdr:spPr bwMode="auto">
        <a:xfrm>
          <a:off x="24412575" y="1657350"/>
          <a:ext cx="4448175" cy="514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5841" name="Line 8">
          <a:extLst>
            <a:ext uri="{FF2B5EF4-FFF2-40B4-BE49-F238E27FC236}">
              <a16:creationId xmlns:a16="http://schemas.microsoft.com/office/drawing/2014/main" id="{9392CDA5-521A-4131-9101-1FA2071EBEFA}"/>
            </a:ext>
          </a:extLst>
        </xdr:cNvPr>
        <xdr:cNvSpPr>
          <a:spLocks noChangeShapeType="1"/>
        </xdr:cNvSpPr>
      </xdr:nvSpPr>
      <xdr:spPr bwMode="auto">
        <a:xfrm>
          <a:off x="28575" y="0"/>
          <a:ext cx="4448175" cy="0"/>
        </a:xfrm>
        <a:prstGeom prst="line">
          <a:avLst/>
        </a:prstGeom>
        <a:noFill/>
        <a:ln w="9525">
          <a:solidFill>
            <a:srgbClr val="3333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7</xdr:row>
      <xdr:rowOff>19050</xdr:rowOff>
    </xdr:from>
    <xdr:to>
      <xdr:col>1</xdr:col>
      <xdr:colOff>0</xdr:colOff>
      <xdr:row>8</xdr:row>
      <xdr:rowOff>257175</xdr:rowOff>
    </xdr:to>
    <xdr:sp macro="" textlink="">
      <xdr:nvSpPr>
        <xdr:cNvPr id="85842" name="Line 9">
          <a:extLst>
            <a:ext uri="{FF2B5EF4-FFF2-40B4-BE49-F238E27FC236}">
              <a16:creationId xmlns:a16="http://schemas.microsoft.com/office/drawing/2014/main" id="{AC6F2F4C-2FAB-4BA1-B2A5-BF0E0299A135}"/>
            </a:ext>
          </a:extLst>
        </xdr:cNvPr>
        <xdr:cNvSpPr>
          <a:spLocks noChangeShapeType="1"/>
        </xdr:cNvSpPr>
      </xdr:nvSpPr>
      <xdr:spPr bwMode="auto">
        <a:xfrm>
          <a:off x="0" y="1647825"/>
          <a:ext cx="4476750" cy="495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19</xdr:col>
      <xdr:colOff>38100</xdr:colOff>
      <xdr:row>0</xdr:row>
      <xdr:rowOff>0</xdr:rowOff>
    </xdr:from>
    <xdr:to>
      <xdr:col>26</xdr:col>
      <xdr:colOff>1009650</xdr:colOff>
      <xdr:row>2</xdr:row>
      <xdr:rowOff>161925</xdr:rowOff>
    </xdr:to>
    <xdr:pic>
      <xdr:nvPicPr>
        <xdr:cNvPr id="85843" name="Picture 23">
          <a:extLst>
            <a:ext uri="{FF2B5EF4-FFF2-40B4-BE49-F238E27FC236}">
              <a16:creationId xmlns:a16="http://schemas.microsoft.com/office/drawing/2014/main" id="{5023782B-055C-48E1-ABDF-F5A8986806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22100" y="0"/>
          <a:ext cx="1179195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1343025</xdr:colOff>
      <xdr:row>1</xdr:row>
      <xdr:rowOff>0</xdr:rowOff>
    </xdr:from>
    <xdr:to>
      <xdr:col>19</xdr:col>
      <xdr:colOff>2895600</xdr:colOff>
      <xdr:row>2</xdr:row>
      <xdr:rowOff>0</xdr:rowOff>
    </xdr:to>
    <xdr:pic>
      <xdr:nvPicPr>
        <xdr:cNvPr id="85844" name="Picture 35">
          <a:extLst>
            <a:ext uri="{FF2B5EF4-FFF2-40B4-BE49-F238E27FC236}">
              <a16:creationId xmlns:a16="http://schemas.microsoft.com/office/drawing/2014/main" id="{1550998F-92FD-420E-9523-FDDF88239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27025" y="200025"/>
          <a:ext cx="15525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28575</xdr:colOff>
      <xdr:row>0</xdr:row>
      <xdr:rowOff>0</xdr:rowOff>
    </xdr:from>
    <xdr:to>
      <xdr:col>19</xdr:col>
      <xdr:colOff>676275</xdr:colOff>
      <xdr:row>3</xdr:row>
      <xdr:rowOff>9525</xdr:rowOff>
    </xdr:to>
    <xdr:pic>
      <xdr:nvPicPr>
        <xdr:cNvPr id="85845" name="19 Imagen" descr="Descripción: C:\Users\bd104055\AppData\Local\Microsoft\Windows\Temporary Internet Files\Content.IE5\EXFTHCCQ\logos%20negros[1].png">
          <a:extLst>
            <a:ext uri="{FF2B5EF4-FFF2-40B4-BE49-F238E27FC236}">
              <a16:creationId xmlns:a16="http://schemas.microsoft.com/office/drawing/2014/main" id="{93840263-9F69-47CA-840E-97D44E9FD4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12575" y="0"/>
          <a:ext cx="647700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_cuentas\ano%20base\SCN93,00\MAC\COU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ínculos"/>
      <sheetName val="COUD"/>
      <sheetName val="COUI"/>
      <sheetName val="COUR"/>
      <sheetName val="COUSR"/>
      <sheetName val="COUSR (2)"/>
      <sheetName val="COUmini"/>
      <sheetName val="COUSR1"/>
      <sheetName val="COU00"/>
      <sheetName val="COU_imp1"/>
      <sheetName val="COU_imp2"/>
      <sheetName val="COU_imp3"/>
      <sheetName val="COU D"/>
      <sheetName val="COU "/>
      <sheetName val="COU c"/>
      <sheetName val="COUSR00 present."/>
      <sheetName val="COU K"/>
      <sheetName val="tela"/>
      <sheetName val="Q7"/>
      <sheetName val="Q5"/>
      <sheetName val="loans&amp;grants(F)"/>
    </sheetNames>
    <sheetDataSet>
      <sheetData sheetId="0"/>
      <sheetData sheetId="1" refreshError="1">
        <row r="277">
          <cell r="FI277">
            <v>204364.10427887697</v>
          </cell>
          <cell r="FM277">
            <v>70839.656067420292</v>
          </cell>
          <cell r="FS277">
            <v>10242.426662162881</v>
          </cell>
          <cell r="FY277">
            <v>285322.11056416185</v>
          </cell>
        </row>
        <row r="546">
          <cell r="FI546">
            <v>107828.27817249537</v>
          </cell>
          <cell r="FJ546">
            <v>107828.25873441475</v>
          </cell>
          <cell r="FM546">
            <v>57563.614976979741</v>
          </cell>
          <cell r="FN546">
            <v>74724.612287728465</v>
          </cell>
          <cell r="FO546">
            <v>734.12309240248214</v>
          </cell>
          <cell r="FP546">
            <v>6644.0875089373785</v>
          </cell>
          <cell r="FQ546">
            <v>7656.6088821174944</v>
          </cell>
          <cell r="FR546">
            <v>14300.696391054873</v>
          </cell>
          <cell r="FS546">
            <v>89759.431771185802</v>
          </cell>
          <cell r="FT546">
            <v>27487.381850632704</v>
          </cell>
          <cell r="FU546">
            <v>2683.4019324986875</v>
          </cell>
          <cell r="FV546">
            <v>0</v>
          </cell>
          <cell r="FW546">
            <v>30170.783783131392</v>
          </cell>
          <cell r="FX546">
            <v>285322.10870379244</v>
          </cell>
        </row>
      </sheetData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C10:K27"/>
  <sheetViews>
    <sheetView showGridLines="0" workbookViewId="0"/>
  </sheetViews>
  <sheetFormatPr defaultColWidth="10" defaultRowHeight="12.75" x14ac:dyDescent="0.2"/>
  <cols>
    <col min="1" max="1" width="0.875" style="5" customWidth="1"/>
    <col min="2" max="2" width="4.5" style="5" customWidth="1"/>
    <col min="3" max="3" width="27.5" style="5" customWidth="1"/>
    <col min="4" max="4" width="36.875" style="5" customWidth="1"/>
    <col min="5" max="16384" width="10" style="5"/>
  </cols>
  <sheetData>
    <row r="10" spans="3:11" ht="15" customHeight="1" x14ac:dyDescent="0.2">
      <c r="D10" s="9"/>
    </row>
    <row r="11" spans="3:11" x14ac:dyDescent="0.2">
      <c r="C11" s="6"/>
      <c r="D11" s="6"/>
      <c r="E11" s="6"/>
      <c r="F11" s="6"/>
      <c r="G11" s="6"/>
      <c r="H11" s="6"/>
      <c r="I11" s="6"/>
      <c r="J11" s="6"/>
      <c r="K11" s="6"/>
    </row>
    <row r="12" spans="3:11" ht="15" x14ac:dyDescent="0.2">
      <c r="C12" s="7" t="s">
        <v>0</v>
      </c>
      <c r="D12" s="6"/>
      <c r="E12" s="6"/>
      <c r="F12" s="6"/>
      <c r="G12" s="6"/>
      <c r="H12" s="6"/>
      <c r="I12" s="6"/>
      <c r="J12" s="6"/>
      <c r="K12" s="6"/>
    </row>
    <row r="13" spans="3:11" x14ac:dyDescent="0.2">
      <c r="C13" s="8" t="s">
        <v>1</v>
      </c>
      <c r="D13" s="6"/>
      <c r="E13" s="6"/>
      <c r="F13" s="6"/>
      <c r="G13" s="6"/>
      <c r="H13" s="6"/>
      <c r="I13" s="6"/>
      <c r="J13" s="6"/>
      <c r="K13" s="6"/>
    </row>
    <row r="14" spans="3:11" x14ac:dyDescent="0.2">
      <c r="C14" s="8" t="s">
        <v>2</v>
      </c>
      <c r="D14" s="6"/>
      <c r="E14" s="6"/>
      <c r="F14" s="6"/>
      <c r="G14" s="6"/>
      <c r="H14" s="6"/>
      <c r="I14" s="6"/>
      <c r="J14" s="6"/>
      <c r="K14" s="6"/>
    </row>
    <row r="15" spans="3:11" x14ac:dyDescent="0.2">
      <c r="C15" s="8" t="s">
        <v>3</v>
      </c>
      <c r="D15" s="6"/>
      <c r="E15" s="6"/>
      <c r="F15" s="6"/>
      <c r="G15" s="6"/>
      <c r="H15" s="6"/>
      <c r="I15" s="6"/>
      <c r="J15" s="6"/>
      <c r="K15" s="6"/>
    </row>
    <row r="16" spans="3:11" ht="13.5" customHeight="1" x14ac:dyDescent="0.2">
      <c r="C16"/>
      <c r="D16" s="6"/>
      <c r="E16" s="6"/>
      <c r="F16" s="6"/>
      <c r="G16" s="6"/>
      <c r="H16" s="6"/>
      <c r="I16" s="6"/>
      <c r="J16" s="6"/>
      <c r="K16" s="6"/>
    </row>
    <row r="17" spans="3:11" ht="15" x14ac:dyDescent="0.2">
      <c r="C17" s="7" t="s">
        <v>4</v>
      </c>
      <c r="D17" s="6"/>
      <c r="E17" s="6"/>
      <c r="F17" s="6"/>
      <c r="G17" s="6"/>
      <c r="H17" s="6"/>
      <c r="I17" s="6"/>
      <c r="J17" s="6"/>
      <c r="K17" s="6"/>
    </row>
    <row r="18" spans="3:11" s="6" customFormat="1" ht="18.75" customHeight="1" x14ac:dyDescent="0.2">
      <c r="C18" s="8" t="s">
        <v>1</v>
      </c>
    </row>
    <row r="19" spans="3:11" x14ac:dyDescent="0.2">
      <c r="C19" s="8" t="s">
        <v>2</v>
      </c>
    </row>
    <row r="20" spans="3:11" x14ac:dyDescent="0.2">
      <c r="C20" s="8" t="s">
        <v>3</v>
      </c>
    </row>
    <row r="22" spans="3:11" ht="15" x14ac:dyDescent="0.2">
      <c r="C22" s="7" t="s">
        <v>5</v>
      </c>
    </row>
    <row r="23" spans="3:11" ht="18.75" customHeight="1" x14ac:dyDescent="0.2">
      <c r="C23" s="8" t="s">
        <v>1</v>
      </c>
    </row>
    <row r="24" spans="3:11" x14ac:dyDescent="0.2">
      <c r="C24" s="8" t="s">
        <v>2</v>
      </c>
    </row>
    <row r="25" spans="3:11" x14ac:dyDescent="0.2">
      <c r="C25" s="8" t="s">
        <v>3</v>
      </c>
    </row>
    <row r="27" spans="3:11" ht="14.25" x14ac:dyDescent="0.2">
      <c r="E27" s="69"/>
      <c r="F27" s="69"/>
      <c r="G27" s="69"/>
    </row>
  </sheetData>
  <mergeCells count="1">
    <mergeCell ref="E27:G27"/>
  </mergeCells>
  <phoneticPr fontId="2" type="noConversion"/>
  <hyperlinks>
    <hyperlink ref="C13" location="Producción!A6" display="Producción Bruta Valores Corrientes" xr:uid="{00000000-0004-0000-0000-000000000000}"/>
    <hyperlink ref="C14" location="Producción!J7" display="Estructura Porcentual Horizontal" xr:uid="{00000000-0004-0000-0000-000001000000}"/>
    <hyperlink ref="C15" location="Producción!R7" display="Estructura Vertical" xr:uid="{00000000-0004-0000-0000-000002000000}"/>
    <hyperlink ref="C18" location="'Consumo Intermedio'!A7" display="Valores Corrientes" xr:uid="{00000000-0004-0000-0000-000003000000}"/>
    <hyperlink ref="C19" location="'Consumo Intermedio'!J7" display="Estructura Porcentual Horizontal" xr:uid="{00000000-0004-0000-0000-000004000000}"/>
    <hyperlink ref="C20" location="'Consumo Intermedio'!S7" display="Estructura Vertical" xr:uid="{00000000-0004-0000-0000-000005000000}"/>
    <hyperlink ref="C23" location="'Valor Agregado'!A7" display="Valores Corrientes" xr:uid="{00000000-0004-0000-0000-000006000000}"/>
    <hyperlink ref="C24" location="'Valor Agregado'!J7" display="Estructura Porcentual Horizontal" xr:uid="{00000000-0004-0000-0000-000007000000}"/>
    <hyperlink ref="C25" location="'Valor Agregado'!S7" display="Estructura Vertical" xr:uid="{00000000-0004-0000-0000-000008000000}"/>
  </hyperlinks>
  <printOptions horizontalCentered="1" verticalCentered="1"/>
  <pageMargins left="0" right="0" top="0" bottom="0" header="0" footer="0"/>
  <pageSetup scale="8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5"/>
  <dimension ref="A1:AA35"/>
  <sheetViews>
    <sheetView showGridLines="0" tabSelected="1" zoomScale="85" zoomScaleNormal="85" zoomScaleSheetLayoutView="75" workbookViewId="0">
      <selection activeCell="G14" sqref="G14"/>
    </sheetView>
  </sheetViews>
  <sheetFormatPr defaultColWidth="10" defaultRowHeight="12.75" x14ac:dyDescent="0.2"/>
  <cols>
    <col min="1" max="1" width="58.75" style="1" customWidth="1"/>
    <col min="2" max="3" width="14.375" style="1" customWidth="1"/>
    <col min="4" max="7" width="13.625" style="1" customWidth="1"/>
    <col min="8" max="8" width="3.625" style="1" customWidth="1"/>
    <col min="9" max="9" width="58.625" style="1" customWidth="1"/>
    <col min="10" max="10" width="14.25" style="1" customWidth="1"/>
    <col min="11" max="11" width="12.75" style="1" customWidth="1"/>
    <col min="12" max="15" width="13.625" style="1" customWidth="1"/>
    <col min="16" max="16" width="3.625" style="1" customWidth="1"/>
    <col min="17" max="17" width="58.75" style="1" customWidth="1"/>
    <col min="18" max="19" width="14.25" style="1" customWidth="1"/>
    <col min="20" max="23" width="13.625" style="1" customWidth="1"/>
    <col min="24" max="26" width="14.375" style="1" customWidth="1"/>
    <col min="27" max="16384" width="10" style="1"/>
  </cols>
  <sheetData>
    <row r="1" spans="1:27" ht="15.75" customHeight="1" x14ac:dyDescent="0.2">
      <c r="A1" s="4"/>
      <c r="B1" s="4"/>
      <c r="C1" s="4"/>
      <c r="D1" s="4"/>
      <c r="E1" s="4"/>
      <c r="F1" s="4"/>
      <c r="G1" s="4"/>
      <c r="H1" s="2"/>
      <c r="I1" s="72"/>
      <c r="J1" s="72"/>
      <c r="K1" s="72"/>
      <c r="L1" s="72"/>
      <c r="M1" s="72"/>
      <c r="N1" s="72"/>
      <c r="O1" s="72"/>
      <c r="P1" s="2"/>
      <c r="Q1" s="72"/>
      <c r="R1" s="72"/>
      <c r="S1" s="72"/>
      <c r="T1" s="72"/>
      <c r="U1" s="72"/>
      <c r="V1" s="72"/>
      <c r="W1" s="72"/>
      <c r="X1" s="2"/>
      <c r="Y1" s="2"/>
      <c r="Z1" s="2"/>
      <c r="AA1" s="2"/>
    </row>
    <row r="2" spans="1:27" ht="15.75" customHeight="1" x14ac:dyDescent="0.2">
      <c r="A2" s="4"/>
      <c r="B2" s="4"/>
      <c r="C2" s="4"/>
      <c r="D2" s="4"/>
      <c r="E2" s="4"/>
      <c r="F2" s="4"/>
      <c r="G2" s="4"/>
      <c r="H2" s="2"/>
      <c r="I2" s="4"/>
      <c r="J2" s="4"/>
      <c r="K2" s="4"/>
      <c r="L2" s="4"/>
      <c r="M2" s="4"/>
      <c r="N2" s="4"/>
      <c r="O2" s="4"/>
      <c r="P2" s="2"/>
      <c r="Q2" s="4"/>
      <c r="R2" s="4"/>
      <c r="S2" s="4"/>
      <c r="T2" s="4"/>
      <c r="U2" s="4"/>
      <c r="V2" s="4"/>
      <c r="W2" s="4"/>
      <c r="X2" s="2"/>
      <c r="Y2" s="2"/>
      <c r="Z2" s="2"/>
      <c r="AA2" s="2"/>
    </row>
    <row r="3" spans="1:27" ht="15.75" customHeight="1" x14ac:dyDescent="0.2">
      <c r="A3" s="4"/>
      <c r="B3" s="4"/>
      <c r="C3" s="4"/>
      <c r="D3" s="4"/>
      <c r="E3" s="4"/>
      <c r="F3" s="4"/>
      <c r="G3" s="4"/>
      <c r="H3" s="2"/>
      <c r="I3" s="4"/>
      <c r="J3" s="4"/>
      <c r="K3" s="4"/>
      <c r="L3" s="4"/>
      <c r="M3" s="4"/>
      <c r="N3" s="4"/>
      <c r="O3" s="4"/>
      <c r="P3" s="2"/>
      <c r="Q3" s="4"/>
      <c r="R3" s="4"/>
      <c r="S3" s="4"/>
      <c r="T3" s="4"/>
      <c r="U3" s="4"/>
      <c r="V3" s="4"/>
      <c r="W3" s="4"/>
      <c r="X3" s="2"/>
      <c r="Y3" s="2"/>
      <c r="Z3" s="2"/>
      <c r="AA3" s="2"/>
    </row>
    <row r="4" spans="1:27" ht="20.25" customHeight="1" x14ac:dyDescent="0.2">
      <c r="A4" s="72"/>
      <c r="B4" s="72"/>
      <c r="C4" s="72"/>
      <c r="D4" s="72"/>
      <c r="E4" s="72"/>
      <c r="F4" s="72"/>
      <c r="G4" s="72"/>
      <c r="H4" s="2"/>
      <c r="I4" s="72"/>
      <c r="J4" s="72"/>
      <c r="K4" s="72"/>
      <c r="L4" s="72"/>
      <c r="M4" s="72"/>
      <c r="N4" s="72"/>
      <c r="O4" s="72"/>
      <c r="P4" s="2"/>
      <c r="Q4" s="72"/>
      <c r="R4" s="72"/>
      <c r="S4" s="72"/>
      <c r="T4" s="72"/>
      <c r="U4" s="72"/>
      <c r="V4" s="72"/>
      <c r="W4" s="72"/>
      <c r="X4" s="2"/>
      <c r="Y4" s="2"/>
      <c r="Z4" s="2"/>
      <c r="AA4" s="2"/>
    </row>
    <row r="5" spans="1:27" s="22" customFormat="1" ht="20.25" customHeight="1" x14ac:dyDescent="0.2">
      <c r="A5" s="73" t="s">
        <v>6</v>
      </c>
      <c r="B5" s="73"/>
      <c r="C5" s="73"/>
      <c r="D5" s="73"/>
      <c r="E5" s="73"/>
      <c r="F5" s="73"/>
      <c r="G5" s="73"/>
      <c r="H5" s="40"/>
      <c r="I5" s="73" t="s">
        <v>6</v>
      </c>
      <c r="J5" s="73"/>
      <c r="K5" s="73"/>
      <c r="L5" s="73"/>
      <c r="M5" s="73"/>
      <c r="N5" s="73"/>
      <c r="O5" s="73"/>
      <c r="P5" s="40"/>
      <c r="Q5" s="73" t="s">
        <v>6</v>
      </c>
      <c r="R5" s="73"/>
      <c r="S5" s="73"/>
      <c r="T5" s="73"/>
      <c r="U5" s="73"/>
      <c r="V5" s="73"/>
      <c r="W5" s="73"/>
      <c r="X5" s="11"/>
      <c r="Y5" s="11"/>
      <c r="Z5" s="11"/>
    </row>
    <row r="6" spans="1:27" s="22" customFormat="1" ht="20.25" customHeight="1" x14ac:dyDescent="0.2">
      <c r="A6" s="73" t="s">
        <v>7</v>
      </c>
      <c r="B6" s="73"/>
      <c r="C6" s="73"/>
      <c r="D6" s="73"/>
      <c r="E6" s="73"/>
      <c r="F6" s="73"/>
      <c r="G6" s="73"/>
      <c r="H6" s="40"/>
      <c r="I6" s="73" t="s">
        <v>8</v>
      </c>
      <c r="J6" s="73"/>
      <c r="K6" s="73"/>
      <c r="L6" s="73"/>
      <c r="M6" s="73"/>
      <c r="N6" s="73"/>
      <c r="O6" s="73"/>
      <c r="P6" s="40"/>
      <c r="Q6" s="73" t="s">
        <v>8</v>
      </c>
      <c r="R6" s="73"/>
      <c r="S6" s="73"/>
      <c r="T6" s="73"/>
      <c r="U6" s="73"/>
      <c r="V6" s="73"/>
      <c r="W6" s="73"/>
      <c r="X6" s="40"/>
      <c r="Y6" s="40"/>
      <c r="Z6" s="40"/>
    </row>
    <row r="7" spans="1:27" s="22" customFormat="1" ht="20.25" customHeight="1" thickBot="1" x14ac:dyDescent="0.25">
      <c r="A7" s="74" t="s">
        <v>9</v>
      </c>
      <c r="B7" s="74"/>
      <c r="C7" s="74"/>
      <c r="D7" s="74"/>
      <c r="E7" s="74"/>
      <c r="F7" s="74"/>
      <c r="G7" s="74"/>
      <c r="H7" s="14"/>
      <c r="I7" s="73" t="s">
        <v>10</v>
      </c>
      <c r="J7" s="73"/>
      <c r="K7" s="73"/>
      <c r="L7" s="73"/>
      <c r="M7" s="73"/>
      <c r="N7" s="73"/>
      <c r="O7" s="73"/>
      <c r="P7" s="40"/>
      <c r="Q7" s="73" t="s">
        <v>11</v>
      </c>
      <c r="R7" s="73"/>
      <c r="S7" s="73"/>
      <c r="T7" s="73"/>
      <c r="U7" s="73"/>
      <c r="V7" s="73"/>
      <c r="W7" s="73"/>
      <c r="X7" s="40"/>
      <c r="Y7" s="40"/>
      <c r="Z7" s="40"/>
    </row>
    <row r="8" spans="1:27" s="12" customFormat="1" ht="20.25" customHeight="1" x14ac:dyDescent="0.2">
      <c r="A8" s="15" t="s">
        <v>12</v>
      </c>
      <c r="B8" s="75" t="s">
        <v>13</v>
      </c>
      <c r="C8" s="77" t="s">
        <v>14</v>
      </c>
      <c r="D8" s="77" t="s">
        <v>15</v>
      </c>
      <c r="E8" s="77" t="s">
        <v>16</v>
      </c>
      <c r="F8" s="77" t="s">
        <v>17</v>
      </c>
      <c r="G8" s="79" t="s">
        <v>18</v>
      </c>
      <c r="H8" s="13"/>
      <c r="I8" s="15" t="s">
        <v>12</v>
      </c>
      <c r="J8" s="75" t="s">
        <v>13</v>
      </c>
      <c r="K8" s="77" t="s">
        <v>14</v>
      </c>
      <c r="L8" s="77" t="s">
        <v>15</v>
      </c>
      <c r="M8" s="77" t="s">
        <v>16</v>
      </c>
      <c r="N8" s="77" t="s">
        <v>17</v>
      </c>
      <c r="O8" s="79" t="s">
        <v>18</v>
      </c>
      <c r="Q8" s="15" t="s">
        <v>12</v>
      </c>
      <c r="R8" s="75" t="s">
        <v>13</v>
      </c>
      <c r="S8" s="77" t="s">
        <v>14</v>
      </c>
      <c r="T8" s="77" t="s">
        <v>15</v>
      </c>
      <c r="U8" s="77" t="s">
        <v>16</v>
      </c>
      <c r="V8" s="77" t="s">
        <v>17</v>
      </c>
      <c r="W8" s="79" t="s">
        <v>18</v>
      </c>
    </row>
    <row r="9" spans="1:27" s="12" customFormat="1" ht="20.25" customHeight="1" x14ac:dyDescent="0.2">
      <c r="A9" s="16" t="s">
        <v>19</v>
      </c>
      <c r="B9" s="76"/>
      <c r="C9" s="78"/>
      <c r="D9" s="78"/>
      <c r="E9" s="78"/>
      <c r="F9" s="78"/>
      <c r="G9" s="80"/>
      <c r="H9" s="17"/>
      <c r="I9" s="16" t="s">
        <v>19</v>
      </c>
      <c r="J9" s="76"/>
      <c r="K9" s="78"/>
      <c r="L9" s="78"/>
      <c r="M9" s="78"/>
      <c r="N9" s="78"/>
      <c r="O9" s="80"/>
      <c r="Q9" s="16" t="s">
        <v>19</v>
      </c>
      <c r="R9" s="76"/>
      <c r="S9" s="78"/>
      <c r="T9" s="78"/>
      <c r="U9" s="78"/>
      <c r="V9" s="78"/>
      <c r="W9" s="80"/>
    </row>
    <row r="10" spans="1:27" s="22" customFormat="1" ht="20.100000000000001" customHeight="1" x14ac:dyDescent="0.2">
      <c r="A10" s="14" t="s">
        <v>20</v>
      </c>
      <c r="B10" s="18">
        <v>42043.199999999997</v>
      </c>
      <c r="C10" s="19">
        <v>0</v>
      </c>
      <c r="D10" s="19">
        <v>0</v>
      </c>
      <c r="E10" s="18">
        <v>70516.2</v>
      </c>
      <c r="F10" s="19">
        <v>0</v>
      </c>
      <c r="G10" s="38">
        <v>112559.4</v>
      </c>
      <c r="H10" s="36"/>
      <c r="I10" s="14" t="s">
        <v>20</v>
      </c>
      <c r="J10" s="20">
        <v>37.4</v>
      </c>
      <c r="K10" s="21" t="s">
        <v>21</v>
      </c>
      <c r="L10" s="21" t="s">
        <v>21</v>
      </c>
      <c r="M10" s="20">
        <v>62.6</v>
      </c>
      <c r="N10" s="21" t="s">
        <v>21</v>
      </c>
      <c r="O10" s="20">
        <v>100</v>
      </c>
      <c r="P10" s="20"/>
      <c r="Q10" s="14" t="s">
        <v>20</v>
      </c>
      <c r="R10" s="20">
        <v>5.4</v>
      </c>
      <c r="S10" s="21" t="s">
        <v>21</v>
      </c>
      <c r="T10" s="21" t="s">
        <v>21</v>
      </c>
      <c r="U10" s="20">
        <v>35.299999999999997</v>
      </c>
      <c r="V10" s="21" t="s">
        <v>21</v>
      </c>
      <c r="W10" s="20">
        <v>9.9</v>
      </c>
    </row>
    <row r="11" spans="1:27" s="22" customFormat="1" ht="19.5" customHeight="1" x14ac:dyDescent="0.2">
      <c r="A11" s="14" t="s">
        <v>22</v>
      </c>
      <c r="B11" s="18">
        <v>6823.6</v>
      </c>
      <c r="C11" s="19">
        <v>0</v>
      </c>
      <c r="D11" s="19">
        <v>0</v>
      </c>
      <c r="E11" s="18">
        <v>208.7</v>
      </c>
      <c r="F11" s="19">
        <v>0</v>
      </c>
      <c r="G11" s="38">
        <v>7032.3</v>
      </c>
      <c r="H11" s="36"/>
      <c r="I11" s="14" t="s">
        <v>22</v>
      </c>
      <c r="J11" s="20">
        <v>97</v>
      </c>
      <c r="K11" s="21" t="s">
        <v>21</v>
      </c>
      <c r="L11" s="21" t="s">
        <v>21</v>
      </c>
      <c r="M11" s="20">
        <v>3</v>
      </c>
      <c r="N11" s="21" t="s">
        <v>21</v>
      </c>
      <c r="O11" s="20">
        <v>100</v>
      </c>
      <c r="P11" s="20"/>
      <c r="Q11" s="14" t="s">
        <v>22</v>
      </c>
      <c r="R11" s="20">
        <v>0.9</v>
      </c>
      <c r="S11" s="21" t="s">
        <v>21</v>
      </c>
      <c r="T11" s="21" t="s">
        <v>21</v>
      </c>
      <c r="U11" s="20">
        <v>0.1</v>
      </c>
      <c r="V11" s="21" t="s">
        <v>21</v>
      </c>
      <c r="W11" s="20">
        <v>0.6</v>
      </c>
    </row>
    <row r="12" spans="1:27" s="22" customFormat="1" ht="20.100000000000001" customHeight="1" x14ac:dyDescent="0.2">
      <c r="A12" s="14" t="s">
        <v>23</v>
      </c>
      <c r="B12" s="18">
        <v>365723.9</v>
      </c>
      <c r="C12" s="19">
        <v>0</v>
      </c>
      <c r="D12" s="19">
        <v>0</v>
      </c>
      <c r="E12" s="18">
        <v>24049.5</v>
      </c>
      <c r="F12" s="19">
        <v>0</v>
      </c>
      <c r="G12" s="38">
        <v>389773.4</v>
      </c>
      <c r="H12" s="36"/>
      <c r="I12" s="14" t="s">
        <v>23</v>
      </c>
      <c r="J12" s="20">
        <v>93.8</v>
      </c>
      <c r="K12" s="21" t="s">
        <v>21</v>
      </c>
      <c r="L12" s="21" t="s">
        <v>21</v>
      </c>
      <c r="M12" s="20">
        <v>6.2</v>
      </c>
      <c r="N12" s="21" t="s">
        <v>21</v>
      </c>
      <c r="O12" s="20">
        <v>100</v>
      </c>
      <c r="P12" s="20"/>
      <c r="Q12" s="14" t="s">
        <v>23</v>
      </c>
      <c r="R12" s="20">
        <v>46.6</v>
      </c>
      <c r="S12" s="21" t="s">
        <v>21</v>
      </c>
      <c r="T12" s="21" t="s">
        <v>21</v>
      </c>
      <c r="U12" s="20">
        <v>12</v>
      </c>
      <c r="V12" s="21" t="s">
        <v>21</v>
      </c>
      <c r="W12" s="20">
        <v>34.4</v>
      </c>
    </row>
    <row r="13" spans="1:27" s="22" customFormat="1" ht="20.100000000000001" customHeight="1" x14ac:dyDescent="0.2">
      <c r="A13" s="14" t="s">
        <v>24</v>
      </c>
      <c r="B13" s="18">
        <v>41916.1</v>
      </c>
      <c r="C13" s="19">
        <v>0</v>
      </c>
      <c r="D13" s="19">
        <v>0</v>
      </c>
      <c r="E13" s="39">
        <v>0</v>
      </c>
      <c r="F13" s="19">
        <v>0</v>
      </c>
      <c r="G13" s="38">
        <v>41916.1</v>
      </c>
      <c r="H13" s="36"/>
      <c r="I13" s="14" t="s">
        <v>24</v>
      </c>
      <c r="J13" s="20">
        <v>100</v>
      </c>
      <c r="K13" s="21" t="s">
        <v>21</v>
      </c>
      <c r="L13" s="21" t="s">
        <v>21</v>
      </c>
      <c r="M13" s="55" t="s">
        <v>21</v>
      </c>
      <c r="N13" s="21" t="s">
        <v>21</v>
      </c>
      <c r="O13" s="20">
        <v>100</v>
      </c>
      <c r="P13" s="20"/>
      <c r="Q13" s="14" t="s">
        <v>24</v>
      </c>
      <c r="R13" s="20">
        <v>5.3</v>
      </c>
      <c r="S13" s="21" t="s">
        <v>21</v>
      </c>
      <c r="T13" s="21" t="s">
        <v>21</v>
      </c>
      <c r="U13" s="21" t="s">
        <v>21</v>
      </c>
      <c r="V13" s="21" t="s">
        <v>21</v>
      </c>
      <c r="W13" s="20">
        <v>3.7</v>
      </c>
    </row>
    <row r="14" spans="1:27" s="22" customFormat="1" ht="19.5" customHeight="1" x14ac:dyDescent="0.2">
      <c r="A14" s="14" t="s">
        <v>25</v>
      </c>
      <c r="B14" s="18">
        <v>66476</v>
      </c>
      <c r="C14" s="19">
        <v>0</v>
      </c>
      <c r="D14" s="19">
        <v>0</v>
      </c>
      <c r="E14" s="18">
        <v>8878</v>
      </c>
      <c r="F14" s="19">
        <v>0</v>
      </c>
      <c r="G14" s="38">
        <v>75354</v>
      </c>
      <c r="H14" s="36"/>
      <c r="I14" s="14" t="s">
        <v>25</v>
      </c>
      <c r="J14" s="20">
        <v>88.2</v>
      </c>
      <c r="K14" s="21" t="s">
        <v>21</v>
      </c>
      <c r="L14" s="21" t="s">
        <v>21</v>
      </c>
      <c r="M14" s="20">
        <v>11.8</v>
      </c>
      <c r="N14" s="21" t="s">
        <v>21</v>
      </c>
      <c r="O14" s="20">
        <v>100</v>
      </c>
      <c r="P14" s="20"/>
      <c r="Q14" s="14" t="s">
        <v>25</v>
      </c>
      <c r="R14" s="20">
        <v>8.5</v>
      </c>
      <c r="S14" s="21" t="s">
        <v>21</v>
      </c>
      <c r="T14" s="21" t="s">
        <v>21</v>
      </c>
      <c r="U14" s="20">
        <v>4.4000000000000004</v>
      </c>
      <c r="V14" s="21" t="s">
        <v>21</v>
      </c>
      <c r="W14" s="20">
        <v>6.6</v>
      </c>
    </row>
    <row r="15" spans="1:27" s="22" customFormat="1" ht="34.5" customHeight="1" x14ac:dyDescent="0.2">
      <c r="A15" s="14" t="s">
        <v>26</v>
      </c>
      <c r="B15" s="18">
        <v>86247.9</v>
      </c>
      <c r="C15" s="19">
        <v>0</v>
      </c>
      <c r="D15" s="19">
        <v>0</v>
      </c>
      <c r="E15" s="18">
        <v>31096</v>
      </c>
      <c r="F15" s="19">
        <v>0</v>
      </c>
      <c r="G15" s="38">
        <v>117343.9</v>
      </c>
      <c r="H15" s="36"/>
      <c r="I15" s="14" t="s">
        <v>26</v>
      </c>
      <c r="J15" s="20">
        <v>73.5</v>
      </c>
      <c r="K15" s="21" t="s">
        <v>21</v>
      </c>
      <c r="L15" s="21" t="s">
        <v>21</v>
      </c>
      <c r="M15" s="20">
        <v>26.5</v>
      </c>
      <c r="N15" s="21" t="s">
        <v>21</v>
      </c>
      <c r="O15" s="20">
        <v>100</v>
      </c>
      <c r="P15" s="20"/>
      <c r="Q15" s="14" t="s">
        <v>26</v>
      </c>
      <c r="R15" s="20">
        <v>11</v>
      </c>
      <c r="S15" s="21" t="s">
        <v>21</v>
      </c>
      <c r="T15" s="21" t="s">
        <v>21</v>
      </c>
      <c r="U15" s="20">
        <v>15.6</v>
      </c>
      <c r="V15" s="21" t="s">
        <v>21</v>
      </c>
      <c r="W15" s="20">
        <v>10.3</v>
      </c>
    </row>
    <row r="16" spans="1:27" s="22" customFormat="1" ht="20.100000000000001" customHeight="1" x14ac:dyDescent="0.2">
      <c r="A16" s="14" t="s">
        <v>27</v>
      </c>
      <c r="B16" s="18">
        <v>35452.800000000003</v>
      </c>
      <c r="C16" s="19">
        <v>0</v>
      </c>
      <c r="D16" s="19">
        <v>0</v>
      </c>
      <c r="E16" s="18">
        <v>5357.5</v>
      </c>
      <c r="F16" s="19">
        <v>0</v>
      </c>
      <c r="G16" s="38">
        <v>40810.300000000003</v>
      </c>
      <c r="H16" s="36"/>
      <c r="I16" s="14" t="s">
        <v>27</v>
      </c>
      <c r="J16" s="20">
        <v>86.9</v>
      </c>
      <c r="K16" s="21" t="s">
        <v>21</v>
      </c>
      <c r="L16" s="21" t="s">
        <v>21</v>
      </c>
      <c r="M16" s="20">
        <v>13.1</v>
      </c>
      <c r="N16" s="21" t="s">
        <v>21</v>
      </c>
      <c r="O16" s="20">
        <v>100</v>
      </c>
      <c r="P16" s="20"/>
      <c r="Q16" s="14" t="s">
        <v>27</v>
      </c>
      <c r="R16" s="20">
        <v>4.5</v>
      </c>
      <c r="S16" s="21" t="s">
        <v>21</v>
      </c>
      <c r="T16" s="21" t="s">
        <v>21</v>
      </c>
      <c r="U16" s="20">
        <v>2.7</v>
      </c>
      <c r="V16" s="21" t="s">
        <v>21</v>
      </c>
      <c r="W16" s="20">
        <v>3.6</v>
      </c>
    </row>
    <row r="17" spans="1:27" s="22" customFormat="1" ht="20.100000000000001" customHeight="1" x14ac:dyDescent="0.2">
      <c r="A17" s="14" t="s">
        <v>28</v>
      </c>
      <c r="B17" s="18">
        <v>30305.599999999999</v>
      </c>
      <c r="C17" s="19">
        <v>0</v>
      </c>
      <c r="D17" s="19">
        <v>0</v>
      </c>
      <c r="E17" s="18">
        <v>14944.9</v>
      </c>
      <c r="F17" s="19">
        <v>0</v>
      </c>
      <c r="G17" s="38">
        <v>45250.5</v>
      </c>
      <c r="H17" s="36"/>
      <c r="I17" s="14" t="s">
        <v>28</v>
      </c>
      <c r="J17" s="20">
        <v>67</v>
      </c>
      <c r="K17" s="21" t="s">
        <v>21</v>
      </c>
      <c r="L17" s="21" t="s">
        <v>21</v>
      </c>
      <c r="M17" s="20">
        <v>33</v>
      </c>
      <c r="N17" s="21" t="s">
        <v>21</v>
      </c>
      <c r="O17" s="20">
        <v>100</v>
      </c>
      <c r="P17" s="20"/>
      <c r="Q17" s="14" t="s">
        <v>28</v>
      </c>
      <c r="R17" s="20">
        <v>3.9</v>
      </c>
      <c r="S17" s="21" t="s">
        <v>21</v>
      </c>
      <c r="T17" s="21" t="s">
        <v>21</v>
      </c>
      <c r="U17" s="20">
        <v>7.5</v>
      </c>
      <c r="V17" s="21" t="s">
        <v>21</v>
      </c>
      <c r="W17" s="20">
        <v>4</v>
      </c>
    </row>
    <row r="18" spans="1:27" s="22" customFormat="1" ht="20.100000000000001" customHeight="1" x14ac:dyDescent="0.2">
      <c r="A18" s="14" t="s">
        <v>29</v>
      </c>
      <c r="B18" s="18">
        <v>36501.5</v>
      </c>
      <c r="C18" s="19">
        <v>0</v>
      </c>
      <c r="D18" s="19">
        <v>0</v>
      </c>
      <c r="E18" s="39">
        <v>0</v>
      </c>
      <c r="F18" s="19">
        <v>0</v>
      </c>
      <c r="G18" s="38">
        <v>36501.5</v>
      </c>
      <c r="H18" s="36"/>
      <c r="I18" s="14" t="s">
        <v>29</v>
      </c>
      <c r="J18" s="20">
        <v>100</v>
      </c>
      <c r="K18" s="21" t="s">
        <v>21</v>
      </c>
      <c r="L18" s="21" t="s">
        <v>21</v>
      </c>
      <c r="M18" s="21" t="s">
        <v>21</v>
      </c>
      <c r="N18" s="21" t="s">
        <v>21</v>
      </c>
      <c r="O18" s="20">
        <v>100</v>
      </c>
      <c r="P18" s="20"/>
      <c r="Q18" s="14" t="s">
        <v>29</v>
      </c>
      <c r="R18" s="20">
        <v>4.7</v>
      </c>
      <c r="S18" s="21" t="s">
        <v>21</v>
      </c>
      <c r="T18" s="21" t="s">
        <v>21</v>
      </c>
      <c r="U18" s="21" t="s">
        <v>21</v>
      </c>
      <c r="V18" s="21" t="s">
        <v>21</v>
      </c>
      <c r="W18" s="20">
        <v>3.2</v>
      </c>
    </row>
    <row r="19" spans="1:27" s="22" customFormat="1" ht="20.100000000000001" customHeight="1" x14ac:dyDescent="0.2">
      <c r="A19" s="14" t="s">
        <v>30</v>
      </c>
      <c r="B19" s="39">
        <v>0</v>
      </c>
      <c r="C19" s="18">
        <v>59567.5</v>
      </c>
      <c r="D19" s="19">
        <v>0</v>
      </c>
      <c r="E19" s="18">
        <v>891.2</v>
      </c>
      <c r="F19" s="18"/>
      <c r="G19" s="38">
        <v>60458.7</v>
      </c>
      <c r="H19" s="36"/>
      <c r="I19" s="14" t="s">
        <v>30</v>
      </c>
      <c r="J19" s="21" t="s">
        <v>21</v>
      </c>
      <c r="K19" s="20">
        <v>98.5</v>
      </c>
      <c r="L19" s="21" t="s">
        <v>21</v>
      </c>
      <c r="M19" s="20">
        <v>1.5</v>
      </c>
      <c r="N19" s="20" t="s">
        <v>21</v>
      </c>
      <c r="O19" s="20">
        <v>100</v>
      </c>
      <c r="P19" s="20"/>
      <c r="Q19" s="14" t="s">
        <v>30</v>
      </c>
      <c r="R19" s="21" t="s">
        <v>21</v>
      </c>
      <c r="S19" s="20">
        <v>100</v>
      </c>
      <c r="T19" s="21" t="s">
        <v>21</v>
      </c>
      <c r="U19" s="20">
        <v>0.4</v>
      </c>
      <c r="V19" s="20" t="s">
        <v>21</v>
      </c>
      <c r="W19" s="20">
        <v>5.3</v>
      </c>
    </row>
    <row r="20" spans="1:27" s="22" customFormat="1" ht="20.100000000000001" customHeight="1" x14ac:dyDescent="0.2">
      <c r="A20" s="14" t="s">
        <v>31</v>
      </c>
      <c r="B20" s="18">
        <v>30933.4</v>
      </c>
      <c r="C20" s="19">
        <v>0</v>
      </c>
      <c r="D20" s="19">
        <v>0</v>
      </c>
      <c r="E20" s="18">
        <v>5724.6</v>
      </c>
      <c r="F20" s="19">
        <v>0</v>
      </c>
      <c r="G20" s="38">
        <v>36658</v>
      </c>
      <c r="H20" s="36"/>
      <c r="I20" s="14" t="s">
        <v>31</v>
      </c>
      <c r="J20" s="20">
        <v>84.4</v>
      </c>
      <c r="K20" s="21" t="s">
        <v>21</v>
      </c>
      <c r="L20" s="21" t="s">
        <v>21</v>
      </c>
      <c r="M20" s="20">
        <v>15.6</v>
      </c>
      <c r="N20" s="21" t="s">
        <v>21</v>
      </c>
      <c r="O20" s="20">
        <v>100</v>
      </c>
      <c r="P20" s="20"/>
      <c r="Q20" s="14" t="s">
        <v>31</v>
      </c>
      <c r="R20" s="20">
        <v>3.9</v>
      </c>
      <c r="S20" s="21" t="s">
        <v>21</v>
      </c>
      <c r="T20" s="21" t="s">
        <v>21</v>
      </c>
      <c r="U20" s="20">
        <v>2.9</v>
      </c>
      <c r="V20" s="21" t="s">
        <v>21</v>
      </c>
      <c r="W20" s="20">
        <v>3.2</v>
      </c>
    </row>
    <row r="21" spans="1:27" s="22" customFormat="1" ht="20.100000000000001" customHeight="1" x14ac:dyDescent="0.2">
      <c r="A21" s="14" t="s">
        <v>32</v>
      </c>
      <c r="B21" s="39">
        <v>0</v>
      </c>
      <c r="C21" s="19">
        <v>0</v>
      </c>
      <c r="D21" s="19">
        <v>0</v>
      </c>
      <c r="E21" s="18">
        <v>31469.1</v>
      </c>
      <c r="F21" s="19">
        <v>0</v>
      </c>
      <c r="G21" s="38">
        <v>31469.1</v>
      </c>
      <c r="H21" s="36"/>
      <c r="I21" s="14" t="s">
        <v>32</v>
      </c>
      <c r="J21" s="21" t="s">
        <v>21</v>
      </c>
      <c r="K21" s="21" t="s">
        <v>21</v>
      </c>
      <c r="L21" s="21" t="s">
        <v>21</v>
      </c>
      <c r="M21" s="20">
        <v>100</v>
      </c>
      <c r="N21" s="21" t="s">
        <v>21</v>
      </c>
      <c r="O21" s="20">
        <v>100</v>
      </c>
      <c r="P21" s="20"/>
      <c r="Q21" s="14" t="s">
        <v>32</v>
      </c>
      <c r="R21" s="21" t="s">
        <v>21</v>
      </c>
      <c r="S21" s="21" t="s">
        <v>21</v>
      </c>
      <c r="T21" s="21" t="s">
        <v>21</v>
      </c>
      <c r="U21" s="20">
        <v>15.8</v>
      </c>
      <c r="V21" s="21" t="s">
        <v>21</v>
      </c>
      <c r="W21" s="20">
        <v>2.8</v>
      </c>
    </row>
    <row r="22" spans="1:27" s="22" customFormat="1" ht="34.5" customHeight="1" x14ac:dyDescent="0.2">
      <c r="A22" s="14" t="s">
        <v>33</v>
      </c>
      <c r="B22" s="39">
        <v>0</v>
      </c>
      <c r="C22" s="19">
        <v>0</v>
      </c>
      <c r="D22" s="18">
        <v>45112.5</v>
      </c>
      <c r="E22" s="39">
        <v>0</v>
      </c>
      <c r="F22" s="19">
        <v>0</v>
      </c>
      <c r="G22" s="38">
        <v>45112.5</v>
      </c>
      <c r="H22" s="36"/>
      <c r="I22" s="14" t="s">
        <v>33</v>
      </c>
      <c r="J22" s="21" t="s">
        <v>21</v>
      </c>
      <c r="K22" s="21" t="s">
        <v>21</v>
      </c>
      <c r="L22" s="20">
        <v>100</v>
      </c>
      <c r="M22" s="21" t="s">
        <v>21</v>
      </c>
      <c r="N22" s="21" t="s">
        <v>21</v>
      </c>
      <c r="O22" s="20">
        <v>100</v>
      </c>
      <c r="P22" s="20"/>
      <c r="Q22" s="14" t="s">
        <v>33</v>
      </c>
      <c r="R22" s="21" t="s">
        <v>21</v>
      </c>
      <c r="S22" s="21" t="s">
        <v>21</v>
      </c>
      <c r="T22" s="20">
        <v>52.390298286464166</v>
      </c>
      <c r="U22" s="21" t="s">
        <v>21</v>
      </c>
      <c r="V22" s="21" t="s">
        <v>21</v>
      </c>
      <c r="W22" s="20">
        <v>4</v>
      </c>
    </row>
    <row r="23" spans="1:27" s="22" customFormat="1" ht="20.100000000000001" customHeight="1" x14ac:dyDescent="0.2">
      <c r="A23" s="14" t="s">
        <v>34</v>
      </c>
      <c r="B23" s="18">
        <v>17460.8</v>
      </c>
      <c r="C23" s="56">
        <v>0</v>
      </c>
      <c r="D23" s="18">
        <v>27777.599999999999</v>
      </c>
      <c r="E23" s="18">
        <v>9.4</v>
      </c>
      <c r="F23" s="56">
        <v>0</v>
      </c>
      <c r="G23" s="38">
        <v>45247.799999999996</v>
      </c>
      <c r="H23" s="36"/>
      <c r="I23" s="14" t="s">
        <v>34</v>
      </c>
      <c r="J23" s="20">
        <v>38.6</v>
      </c>
      <c r="K23" s="21" t="s">
        <v>21</v>
      </c>
      <c r="L23" s="20">
        <v>61.4</v>
      </c>
      <c r="M23" s="35">
        <v>0</v>
      </c>
      <c r="N23" s="21" t="s">
        <v>21</v>
      </c>
      <c r="O23" s="20">
        <v>100</v>
      </c>
      <c r="P23" s="20"/>
      <c r="Q23" s="14" t="s">
        <v>35</v>
      </c>
      <c r="R23" s="20">
        <v>2.2000000000000002</v>
      </c>
      <c r="S23" s="21" t="s">
        <v>21</v>
      </c>
      <c r="T23" s="20">
        <v>32.258836235679397</v>
      </c>
      <c r="U23" s="20">
        <v>0</v>
      </c>
      <c r="V23" s="21" t="s">
        <v>21</v>
      </c>
      <c r="W23" s="20">
        <v>4</v>
      </c>
    </row>
    <row r="24" spans="1:27" s="22" customFormat="1" ht="20.100000000000001" customHeight="1" x14ac:dyDescent="0.2">
      <c r="A24" s="14" t="s">
        <v>36</v>
      </c>
      <c r="B24" s="18">
        <v>11363.8</v>
      </c>
      <c r="C24" s="19">
        <v>0</v>
      </c>
      <c r="D24" s="57">
        <v>13218.4</v>
      </c>
      <c r="E24" s="18">
        <v>263.60000000000002</v>
      </c>
      <c r="F24" s="18">
        <v>823.5</v>
      </c>
      <c r="G24" s="38">
        <v>25669.299999999996</v>
      </c>
      <c r="H24" s="36"/>
      <c r="I24" s="14" t="s">
        <v>36</v>
      </c>
      <c r="J24" s="20">
        <v>44.3</v>
      </c>
      <c r="K24" s="21" t="s">
        <v>21</v>
      </c>
      <c r="L24" s="20">
        <v>51.5</v>
      </c>
      <c r="M24" s="20">
        <v>1</v>
      </c>
      <c r="N24" s="20">
        <v>3.2</v>
      </c>
      <c r="O24" s="20">
        <v>100</v>
      </c>
      <c r="P24" s="20"/>
      <c r="Q24" s="14" t="s">
        <v>36</v>
      </c>
      <c r="R24" s="20">
        <v>1.5</v>
      </c>
      <c r="S24" s="21" t="s">
        <v>21</v>
      </c>
      <c r="T24" s="20">
        <v>15.350865477856424</v>
      </c>
      <c r="U24" s="20">
        <v>0.1</v>
      </c>
      <c r="V24" s="20">
        <v>13.2</v>
      </c>
      <c r="W24" s="20">
        <v>2.2999999999999998</v>
      </c>
    </row>
    <row r="25" spans="1:27" s="22" customFormat="1" ht="19.5" customHeight="1" x14ac:dyDescent="0.2">
      <c r="A25" s="14" t="s">
        <v>37</v>
      </c>
      <c r="B25" s="18">
        <v>12336.7</v>
      </c>
      <c r="C25" s="19">
        <v>0</v>
      </c>
      <c r="D25" s="19">
        <v>0</v>
      </c>
      <c r="E25" s="18">
        <v>6353.3</v>
      </c>
      <c r="F25" s="18">
        <v>5413.4</v>
      </c>
      <c r="G25" s="38">
        <v>24103.4</v>
      </c>
      <c r="H25" s="36"/>
      <c r="I25" s="14" t="s">
        <v>37</v>
      </c>
      <c r="J25" s="20">
        <v>51.1</v>
      </c>
      <c r="K25" s="21" t="s">
        <v>21</v>
      </c>
      <c r="L25" s="21" t="s">
        <v>21</v>
      </c>
      <c r="M25" s="20">
        <v>26.4</v>
      </c>
      <c r="N25" s="20">
        <v>22.5</v>
      </c>
      <c r="O25" s="20">
        <v>100</v>
      </c>
      <c r="P25" s="20"/>
      <c r="Q25" s="14" t="s">
        <v>37</v>
      </c>
      <c r="R25" s="20">
        <v>1.6</v>
      </c>
      <c r="S25" s="21" t="s">
        <v>21</v>
      </c>
      <c r="T25" s="21" t="s">
        <v>21</v>
      </c>
      <c r="U25" s="20">
        <v>3.2</v>
      </c>
      <c r="V25" s="20">
        <v>86.8</v>
      </c>
      <c r="W25" s="20">
        <v>2.1</v>
      </c>
    </row>
    <row r="26" spans="1:27" s="22" customFormat="1" ht="24.75" customHeight="1" thickBot="1" x14ac:dyDescent="0.25">
      <c r="A26" s="23" t="s">
        <v>38</v>
      </c>
      <c r="B26" s="49">
        <v>783585.3</v>
      </c>
      <c r="C26" s="49">
        <v>59567.5</v>
      </c>
      <c r="D26" s="49">
        <v>86108.5</v>
      </c>
      <c r="E26" s="49">
        <v>199762</v>
      </c>
      <c r="F26" s="49">
        <v>6236.9</v>
      </c>
      <c r="G26" s="49">
        <v>1135260.2</v>
      </c>
      <c r="H26" s="58"/>
      <c r="I26" s="24" t="s">
        <v>38</v>
      </c>
      <c r="J26" s="59">
        <v>69.02252893213381</v>
      </c>
      <c r="K26" s="59">
        <v>5.2470349969108403</v>
      </c>
      <c r="L26" s="59">
        <v>7.5849131326897581</v>
      </c>
      <c r="M26" s="59">
        <v>17.596142276457854</v>
      </c>
      <c r="N26" s="59">
        <v>0.54938066180775125</v>
      </c>
      <c r="O26" s="50">
        <v>100.00000000000001</v>
      </c>
      <c r="P26" s="20"/>
      <c r="Q26" s="25" t="s">
        <v>38</v>
      </c>
      <c r="R26" s="50">
        <v>100.00000000000001</v>
      </c>
      <c r="S26" s="50">
        <v>100</v>
      </c>
      <c r="T26" s="50">
        <v>99.999999999999972</v>
      </c>
      <c r="U26" s="50">
        <v>100</v>
      </c>
      <c r="V26" s="50">
        <v>100</v>
      </c>
      <c r="W26" s="50">
        <v>99.999999999999986</v>
      </c>
    </row>
    <row r="27" spans="1:27" s="26" customFormat="1" ht="15" customHeight="1" x14ac:dyDescent="0.2">
      <c r="A27" s="70" t="s">
        <v>39</v>
      </c>
      <c r="B27" s="70"/>
      <c r="C27" s="70"/>
      <c r="D27" s="70"/>
      <c r="E27" s="70"/>
      <c r="F27" s="70"/>
      <c r="G27" s="70"/>
      <c r="H27" s="42"/>
      <c r="I27" s="70" t="s">
        <v>39</v>
      </c>
      <c r="J27" s="70"/>
      <c r="K27" s="70"/>
      <c r="L27" s="70"/>
      <c r="M27" s="70"/>
      <c r="N27" s="70"/>
      <c r="O27" s="70"/>
      <c r="P27" s="41"/>
      <c r="Q27" s="70" t="s">
        <v>39</v>
      </c>
      <c r="R27" s="70"/>
      <c r="S27" s="70"/>
      <c r="T27" s="70"/>
      <c r="U27" s="70"/>
      <c r="V27" s="70"/>
      <c r="W27" s="70"/>
      <c r="X27" s="43"/>
      <c r="Y27" s="43"/>
      <c r="Z27" s="43"/>
      <c r="AA27" s="43"/>
    </row>
    <row r="28" spans="1:27" s="26" customFormat="1" ht="15" customHeight="1" x14ac:dyDescent="0.2">
      <c r="A28" s="71" t="s">
        <v>40</v>
      </c>
      <c r="B28" s="71"/>
      <c r="C28" s="71"/>
      <c r="D28" s="71"/>
      <c r="E28" s="71"/>
      <c r="F28" s="71"/>
      <c r="G28" s="71"/>
      <c r="H28" s="29"/>
      <c r="I28" s="71" t="s">
        <v>40</v>
      </c>
      <c r="J28" s="71"/>
      <c r="K28" s="71"/>
      <c r="L28" s="71"/>
      <c r="M28" s="71"/>
      <c r="N28" s="71"/>
      <c r="O28" s="71"/>
      <c r="P28" s="29"/>
      <c r="Q28" s="71" t="s">
        <v>40</v>
      </c>
      <c r="R28" s="71"/>
      <c r="S28" s="71"/>
      <c r="T28" s="71"/>
      <c r="U28" s="71"/>
      <c r="V28" s="71"/>
      <c r="W28" s="71"/>
      <c r="X28" s="30"/>
      <c r="Y28" s="27"/>
      <c r="Z28" s="27"/>
      <c r="AA28" s="27"/>
    </row>
    <row r="29" spans="1:27" s="26" customFormat="1" ht="15" customHeight="1" x14ac:dyDescent="0.2">
      <c r="A29" s="71" t="s">
        <v>41</v>
      </c>
      <c r="B29" s="71"/>
      <c r="C29" s="71"/>
      <c r="D29" s="71"/>
      <c r="E29" s="71"/>
      <c r="F29" s="71"/>
      <c r="G29" s="71"/>
      <c r="H29" s="29"/>
      <c r="I29" s="71" t="s">
        <v>41</v>
      </c>
      <c r="J29" s="71"/>
      <c r="K29" s="71"/>
      <c r="L29" s="71"/>
      <c r="M29" s="71"/>
      <c r="N29" s="71"/>
      <c r="O29" s="71"/>
      <c r="P29" s="29"/>
      <c r="Q29" s="71" t="s">
        <v>41</v>
      </c>
      <c r="R29" s="71"/>
      <c r="S29" s="71"/>
      <c r="T29" s="71"/>
      <c r="U29" s="71"/>
      <c r="V29" s="71"/>
      <c r="W29" s="71"/>
      <c r="X29" s="44"/>
      <c r="Y29" s="45"/>
      <c r="Z29" s="45"/>
    </row>
    <row r="30" spans="1:27" ht="15" customHeight="1" x14ac:dyDescent="0.2">
      <c r="A30" s="81" t="s">
        <v>42</v>
      </c>
      <c r="B30" s="81"/>
      <c r="C30" s="81"/>
      <c r="D30" s="81"/>
      <c r="E30" s="81"/>
      <c r="F30" s="81"/>
      <c r="G30" s="81"/>
      <c r="H30" s="81"/>
      <c r="I30" s="81" t="s">
        <v>42</v>
      </c>
      <c r="J30" s="81"/>
      <c r="K30" s="81"/>
      <c r="L30" s="81"/>
      <c r="M30" s="81"/>
      <c r="N30" s="81"/>
      <c r="O30" s="81"/>
      <c r="P30" s="81"/>
      <c r="Q30" s="81" t="s">
        <v>42</v>
      </c>
      <c r="R30" s="81"/>
      <c r="S30" s="81"/>
      <c r="T30" s="81"/>
      <c r="U30" s="81"/>
      <c r="V30" s="81"/>
      <c r="W30" s="81"/>
      <c r="X30" s="81"/>
    </row>
    <row r="31" spans="1:27" ht="15" customHeight="1" x14ac:dyDescent="0.2">
      <c r="A31" s="81" t="s">
        <v>43</v>
      </c>
      <c r="B31" s="81"/>
      <c r="C31" s="81"/>
      <c r="D31" s="81"/>
      <c r="E31" s="81"/>
      <c r="F31" s="81"/>
      <c r="G31" s="81"/>
      <c r="H31" s="81"/>
      <c r="I31" s="81" t="s">
        <v>43</v>
      </c>
      <c r="J31" s="81"/>
      <c r="K31" s="81"/>
      <c r="L31" s="81"/>
      <c r="M31" s="81"/>
      <c r="N31" s="81"/>
      <c r="O31" s="81"/>
      <c r="P31" s="81"/>
      <c r="Q31" s="81" t="s">
        <v>43</v>
      </c>
      <c r="R31" s="81"/>
      <c r="S31" s="81"/>
      <c r="T31" s="81"/>
      <c r="U31" s="81"/>
      <c r="V31" s="81"/>
      <c r="W31" s="81"/>
      <c r="X31" s="81"/>
    </row>
    <row r="32" spans="1:27" x14ac:dyDescent="0.2">
      <c r="D32" s="33"/>
      <c r="E32" s="34"/>
    </row>
    <row r="35" spans="18:18" x14ac:dyDescent="0.2">
      <c r="R35" s="33"/>
    </row>
  </sheetData>
  <mergeCells count="47">
    <mergeCell ref="A30:H30"/>
    <mergeCell ref="I30:P30"/>
    <mergeCell ref="Q30:X30"/>
    <mergeCell ref="A31:H31"/>
    <mergeCell ref="I31:P31"/>
    <mergeCell ref="Q31:X31"/>
    <mergeCell ref="W8:W9"/>
    <mergeCell ref="N8:N9"/>
    <mergeCell ref="L8:L9"/>
    <mergeCell ref="V8:V9"/>
    <mergeCell ref="O8:O9"/>
    <mergeCell ref="U8:U9"/>
    <mergeCell ref="R8:R9"/>
    <mergeCell ref="S8:S9"/>
    <mergeCell ref="T8:T9"/>
    <mergeCell ref="M8:M9"/>
    <mergeCell ref="K8:K9"/>
    <mergeCell ref="B8:B9"/>
    <mergeCell ref="E8:E9"/>
    <mergeCell ref="C8:C9"/>
    <mergeCell ref="G8:G9"/>
    <mergeCell ref="F8:F9"/>
    <mergeCell ref="A5:G5"/>
    <mergeCell ref="A6:G6"/>
    <mergeCell ref="A7:G7"/>
    <mergeCell ref="A4:G4"/>
    <mergeCell ref="J8:J9"/>
    <mergeCell ref="D8:D9"/>
    <mergeCell ref="Q1:W1"/>
    <mergeCell ref="Q5:W5"/>
    <mergeCell ref="Q6:W6"/>
    <mergeCell ref="Q7:W7"/>
    <mergeCell ref="Q4:W4"/>
    <mergeCell ref="I1:O1"/>
    <mergeCell ref="I5:O5"/>
    <mergeCell ref="I6:O6"/>
    <mergeCell ref="I7:O7"/>
    <mergeCell ref="I4:O4"/>
    <mergeCell ref="A27:G27"/>
    <mergeCell ref="A28:G28"/>
    <mergeCell ref="A29:G29"/>
    <mergeCell ref="Q27:W27"/>
    <mergeCell ref="Q28:W28"/>
    <mergeCell ref="Q29:W29"/>
    <mergeCell ref="I27:O27"/>
    <mergeCell ref="I28:O28"/>
    <mergeCell ref="I29:O29"/>
  </mergeCells>
  <phoneticPr fontId="2" type="noConversion"/>
  <conditionalFormatting sqref="Y29:Z29">
    <cfRule type="cellIs" dxfId="1" priority="3" stopIfTrue="1" operator="equal">
      <formula>0</formula>
    </cfRule>
  </conditionalFormatting>
  <conditionalFormatting sqref="X29">
    <cfRule type="cellIs" dxfId="0" priority="2" stopIfTrue="1" operator="notEqual">
      <formula>0</formula>
    </cfRule>
  </conditionalFormatting>
  <printOptions horizontalCentered="1" verticalCentered="1"/>
  <pageMargins left="0.59055118110236227" right="0.59055118110236227" top="0" bottom="0.59055118110236227" header="0" footer="0"/>
  <pageSetup scale="68" orientation="landscape" verticalDpi="1200" r:id="rId1"/>
  <headerFooter alignWithMargins="0"/>
  <colBreaks count="2" manualBreakCount="2">
    <brk id="16" max="1048575" man="1"/>
    <brk id="23" max="29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/>
  <dimension ref="A1:AB33"/>
  <sheetViews>
    <sheetView showGridLines="0" zoomScale="85" zoomScaleNormal="85" zoomScaleSheetLayoutView="75" workbookViewId="0">
      <selection activeCell="I10" sqref="I10:I27"/>
    </sheetView>
  </sheetViews>
  <sheetFormatPr defaultColWidth="10" defaultRowHeight="12.75" x14ac:dyDescent="0.2"/>
  <cols>
    <col min="1" max="1" width="58.75" style="1" customWidth="1"/>
    <col min="2" max="3" width="14.375" style="1" customWidth="1"/>
    <col min="4" max="9" width="13.625" style="1" customWidth="1"/>
    <col min="10" max="10" width="3.625" style="1" customWidth="1"/>
    <col min="11" max="11" width="58.75" style="1" customWidth="1"/>
    <col min="12" max="12" width="14.25" style="1" customWidth="1"/>
    <col min="13" max="13" width="12.875" style="1" customWidth="1"/>
    <col min="14" max="18" width="13.625" style="1" customWidth="1"/>
    <col min="19" max="19" width="3.625" style="1" customWidth="1"/>
    <col min="20" max="20" width="58.75" style="1" customWidth="1"/>
    <col min="21" max="22" width="14.375" style="1" customWidth="1"/>
    <col min="23" max="27" width="13.625" style="1" customWidth="1"/>
    <col min="28" max="16384" width="10" style="1"/>
  </cols>
  <sheetData>
    <row r="1" spans="1:28" ht="15.75" customHeight="1" x14ac:dyDescent="0.2">
      <c r="A1" s="72"/>
      <c r="B1" s="72"/>
      <c r="C1" s="72"/>
      <c r="D1" s="72"/>
      <c r="E1" s="72"/>
      <c r="F1" s="72"/>
      <c r="G1" s="72"/>
      <c r="H1" s="72"/>
      <c r="I1" s="62"/>
      <c r="J1" s="3"/>
      <c r="K1" s="72"/>
      <c r="L1" s="72"/>
      <c r="M1" s="72"/>
      <c r="N1" s="72"/>
      <c r="O1" s="72"/>
      <c r="P1" s="72"/>
      <c r="Q1" s="72"/>
      <c r="R1" s="72"/>
      <c r="T1" s="72"/>
      <c r="U1" s="72"/>
      <c r="V1" s="72"/>
      <c r="W1" s="72"/>
      <c r="X1" s="72"/>
      <c r="Y1" s="72"/>
      <c r="Z1" s="72"/>
      <c r="AA1" s="72"/>
      <c r="AB1" s="2"/>
    </row>
    <row r="2" spans="1:28" ht="15.75" customHeight="1" x14ac:dyDescent="0.2">
      <c r="A2" s="4"/>
      <c r="B2" s="4"/>
      <c r="C2" s="4"/>
      <c r="D2" s="4"/>
      <c r="E2" s="4"/>
      <c r="F2" s="4"/>
      <c r="G2" s="4"/>
      <c r="H2" s="4"/>
      <c r="I2" s="62"/>
      <c r="J2" s="3"/>
      <c r="K2" s="4"/>
      <c r="L2" s="4"/>
      <c r="M2" s="4"/>
      <c r="N2" s="4"/>
      <c r="O2" s="4"/>
      <c r="P2" s="4"/>
      <c r="Q2" s="4"/>
      <c r="R2" s="4"/>
      <c r="T2" s="4"/>
      <c r="U2" s="4"/>
      <c r="V2" s="4"/>
      <c r="W2" s="4"/>
      <c r="X2" s="4"/>
      <c r="Y2" s="4"/>
      <c r="Z2" s="4"/>
      <c r="AA2" s="4"/>
      <c r="AB2" s="2"/>
    </row>
    <row r="3" spans="1:28" ht="15.75" customHeight="1" x14ac:dyDescent="0.2">
      <c r="A3" s="4"/>
      <c r="B3" s="4"/>
      <c r="C3" s="4"/>
      <c r="D3" s="4"/>
      <c r="E3" s="4"/>
      <c r="F3" s="4"/>
      <c r="G3" s="4"/>
      <c r="H3" s="4"/>
      <c r="I3" s="62"/>
      <c r="J3" s="3"/>
      <c r="K3" s="4"/>
      <c r="L3" s="4"/>
      <c r="M3" s="4"/>
      <c r="N3" s="4"/>
      <c r="O3" s="4"/>
      <c r="P3" s="4"/>
      <c r="Q3" s="4"/>
      <c r="R3" s="4"/>
      <c r="T3" s="4"/>
      <c r="U3" s="4"/>
      <c r="V3" s="4"/>
      <c r="W3" s="4"/>
      <c r="X3" s="4"/>
      <c r="Y3" s="4"/>
      <c r="Z3" s="4"/>
      <c r="AA3" s="4"/>
      <c r="AB3" s="2"/>
    </row>
    <row r="4" spans="1:28" ht="20.25" customHeight="1" x14ac:dyDescent="0.2">
      <c r="A4" s="72"/>
      <c r="B4" s="72"/>
      <c r="C4" s="72"/>
      <c r="D4" s="72"/>
      <c r="E4" s="72"/>
      <c r="F4" s="72"/>
      <c r="G4" s="72"/>
      <c r="H4" s="72"/>
      <c r="I4" s="62"/>
      <c r="J4" s="3"/>
      <c r="K4" s="72"/>
      <c r="L4" s="72"/>
      <c r="M4" s="72"/>
      <c r="N4" s="72"/>
      <c r="O4" s="72"/>
      <c r="P4" s="72"/>
      <c r="Q4" s="72"/>
      <c r="R4" s="72"/>
      <c r="T4" s="72"/>
      <c r="U4" s="72"/>
      <c r="V4" s="72"/>
      <c r="W4" s="72"/>
      <c r="X4" s="72"/>
      <c r="Y4" s="72"/>
      <c r="Z4" s="72"/>
      <c r="AA4" s="72"/>
      <c r="AB4" s="2"/>
    </row>
    <row r="5" spans="1:28" s="12" customFormat="1" ht="20.25" customHeight="1" x14ac:dyDescent="0.25">
      <c r="A5" s="85" t="s">
        <v>6</v>
      </c>
      <c r="B5" s="85"/>
      <c r="C5" s="85"/>
      <c r="D5" s="85"/>
      <c r="E5" s="85"/>
      <c r="F5" s="85"/>
      <c r="G5" s="85"/>
      <c r="H5" s="85"/>
      <c r="I5" s="65"/>
      <c r="J5" s="31"/>
      <c r="K5" s="85" t="s">
        <v>6</v>
      </c>
      <c r="L5" s="85"/>
      <c r="M5" s="85"/>
      <c r="N5" s="85"/>
      <c r="O5" s="85"/>
      <c r="P5" s="85"/>
      <c r="Q5" s="85"/>
      <c r="R5" s="85"/>
      <c r="T5" s="85" t="s">
        <v>6</v>
      </c>
      <c r="U5" s="85"/>
      <c r="V5" s="85"/>
      <c r="W5" s="85"/>
      <c r="X5" s="85"/>
      <c r="Y5" s="85"/>
      <c r="Z5" s="85"/>
      <c r="AA5" s="85"/>
      <c r="AB5" s="10"/>
    </row>
    <row r="6" spans="1:28" s="12" customFormat="1" ht="20.25" customHeight="1" x14ac:dyDescent="0.25">
      <c r="A6" s="73" t="s">
        <v>44</v>
      </c>
      <c r="B6" s="73"/>
      <c r="C6" s="73"/>
      <c r="D6" s="73"/>
      <c r="E6" s="73"/>
      <c r="F6" s="73"/>
      <c r="G6" s="73"/>
      <c r="H6" s="73"/>
      <c r="I6" s="61"/>
      <c r="K6" s="85" t="s">
        <v>45</v>
      </c>
      <c r="L6" s="86"/>
      <c r="M6" s="86"/>
      <c r="N6" s="86"/>
      <c r="O6" s="86"/>
      <c r="P6" s="86"/>
      <c r="Q6" s="86"/>
      <c r="R6" s="86"/>
      <c r="T6" s="85" t="s">
        <v>45</v>
      </c>
      <c r="U6" s="86"/>
      <c r="V6" s="86"/>
      <c r="W6" s="86"/>
      <c r="X6" s="86"/>
      <c r="Y6" s="86"/>
      <c r="Z6" s="86"/>
      <c r="AA6" s="86"/>
    </row>
    <row r="7" spans="1:28" s="12" customFormat="1" ht="20.25" customHeight="1" thickBot="1" x14ac:dyDescent="0.3">
      <c r="A7" s="88" t="s">
        <v>9</v>
      </c>
      <c r="B7" s="88"/>
      <c r="C7" s="88"/>
      <c r="D7" s="88"/>
      <c r="E7" s="88"/>
      <c r="F7" s="88"/>
      <c r="G7" s="88"/>
      <c r="H7" s="88"/>
      <c r="I7" s="95"/>
      <c r="K7" s="89" t="s">
        <v>10</v>
      </c>
      <c r="L7" s="89"/>
      <c r="M7" s="89"/>
      <c r="N7" s="89"/>
      <c r="O7" s="89"/>
      <c r="P7" s="89"/>
      <c r="Q7" s="89"/>
      <c r="R7" s="89"/>
      <c r="S7" s="10"/>
      <c r="T7" s="89" t="s">
        <v>11</v>
      </c>
      <c r="U7" s="89"/>
      <c r="V7" s="89"/>
      <c r="W7" s="89"/>
      <c r="X7" s="89"/>
      <c r="Y7" s="89"/>
      <c r="Z7" s="89"/>
      <c r="AA7" s="89"/>
    </row>
    <row r="8" spans="1:28" s="12" customFormat="1" ht="20.25" customHeight="1" x14ac:dyDescent="0.2">
      <c r="A8" s="15" t="s">
        <v>12</v>
      </c>
      <c r="B8" s="75" t="s">
        <v>13</v>
      </c>
      <c r="C8" s="77" t="s">
        <v>14</v>
      </c>
      <c r="D8" s="77" t="s">
        <v>15</v>
      </c>
      <c r="E8" s="77" t="s">
        <v>16</v>
      </c>
      <c r="F8" s="77" t="s">
        <v>17</v>
      </c>
      <c r="G8" s="77" t="s">
        <v>46</v>
      </c>
      <c r="H8" s="79" t="s">
        <v>18</v>
      </c>
      <c r="I8" s="95"/>
      <c r="K8" s="15" t="s">
        <v>12</v>
      </c>
      <c r="L8" s="75" t="s">
        <v>13</v>
      </c>
      <c r="M8" s="77" t="s">
        <v>14</v>
      </c>
      <c r="N8" s="77" t="s">
        <v>15</v>
      </c>
      <c r="O8" s="77" t="s">
        <v>16</v>
      </c>
      <c r="P8" s="77" t="s">
        <v>17</v>
      </c>
      <c r="Q8" s="77" t="s">
        <v>46</v>
      </c>
      <c r="R8" s="79" t="s">
        <v>18</v>
      </c>
      <c r="T8" s="15" t="s">
        <v>12</v>
      </c>
      <c r="U8" s="75" t="s">
        <v>13</v>
      </c>
      <c r="V8" s="77" t="s">
        <v>14</v>
      </c>
      <c r="W8" s="77" t="s">
        <v>15</v>
      </c>
      <c r="X8" s="77" t="s">
        <v>16</v>
      </c>
      <c r="Y8" s="77" t="s">
        <v>17</v>
      </c>
      <c r="Z8" s="77" t="s">
        <v>46</v>
      </c>
      <c r="AA8" s="79" t="s">
        <v>18</v>
      </c>
    </row>
    <row r="9" spans="1:28" s="12" customFormat="1" ht="20.25" customHeight="1" x14ac:dyDescent="0.2">
      <c r="A9" s="16" t="s">
        <v>19</v>
      </c>
      <c r="B9" s="76"/>
      <c r="C9" s="78"/>
      <c r="D9" s="78"/>
      <c r="E9" s="78"/>
      <c r="F9" s="84"/>
      <c r="G9" s="78"/>
      <c r="H9" s="80"/>
      <c r="I9" s="97"/>
      <c r="K9" s="16" t="s">
        <v>19</v>
      </c>
      <c r="L9" s="87"/>
      <c r="M9" s="84"/>
      <c r="N9" s="84"/>
      <c r="O9" s="84"/>
      <c r="P9" s="84"/>
      <c r="Q9" s="78"/>
      <c r="R9" s="80"/>
      <c r="T9" s="16" t="s">
        <v>19</v>
      </c>
      <c r="U9" s="87"/>
      <c r="V9" s="84"/>
      <c r="W9" s="84"/>
      <c r="X9" s="84"/>
      <c r="Y9" s="84"/>
      <c r="Z9" s="78"/>
      <c r="AA9" s="80"/>
    </row>
    <row r="10" spans="1:28" s="22" customFormat="1" ht="20.25" customHeight="1" x14ac:dyDescent="0.2">
      <c r="A10" s="14" t="s">
        <v>20</v>
      </c>
      <c r="B10" s="18">
        <v>23535.200000000001</v>
      </c>
      <c r="C10" s="19">
        <v>0</v>
      </c>
      <c r="D10" s="19">
        <v>0</v>
      </c>
      <c r="E10" s="18">
        <v>24150.6</v>
      </c>
      <c r="F10" s="19">
        <v>0</v>
      </c>
      <c r="G10" s="19">
        <v>0</v>
      </c>
      <c r="H10" s="18">
        <v>47685.8</v>
      </c>
      <c r="I10" s="18"/>
      <c r="J10" s="18"/>
      <c r="K10" s="14" t="s">
        <v>20</v>
      </c>
      <c r="L10" s="20">
        <v>49.4</v>
      </c>
      <c r="M10" s="21" t="s">
        <v>21</v>
      </c>
      <c r="N10" s="21" t="s">
        <v>21</v>
      </c>
      <c r="O10" s="20">
        <v>50.6</v>
      </c>
      <c r="P10" s="21" t="s">
        <v>21</v>
      </c>
      <c r="Q10" s="21" t="s">
        <v>21</v>
      </c>
      <c r="R10" s="20">
        <v>100</v>
      </c>
      <c r="T10" s="14" t="s">
        <v>20</v>
      </c>
      <c r="U10" s="20">
        <v>5.2</v>
      </c>
      <c r="V10" s="21" t="s">
        <v>21</v>
      </c>
      <c r="W10" s="21" t="s">
        <v>21</v>
      </c>
      <c r="X10" s="20">
        <v>43.5</v>
      </c>
      <c r="Y10" s="21" t="s">
        <v>21</v>
      </c>
      <c r="Z10" s="35" t="s">
        <v>21</v>
      </c>
      <c r="AA10" s="20">
        <v>8.1999999999999993</v>
      </c>
    </row>
    <row r="11" spans="1:28" s="22" customFormat="1" ht="20.25" customHeight="1" x14ac:dyDescent="0.2">
      <c r="A11" s="14" t="s">
        <v>22</v>
      </c>
      <c r="B11" s="18">
        <v>3206.6</v>
      </c>
      <c r="C11" s="19">
        <v>0</v>
      </c>
      <c r="D11" s="19">
        <v>0</v>
      </c>
      <c r="E11" s="18">
        <v>86.6</v>
      </c>
      <c r="F11" s="19">
        <v>0</v>
      </c>
      <c r="G11" s="19">
        <v>0</v>
      </c>
      <c r="H11" s="18">
        <v>3293.2</v>
      </c>
      <c r="I11" s="18"/>
      <c r="J11" s="18"/>
      <c r="K11" s="14" t="s">
        <v>22</v>
      </c>
      <c r="L11" s="20">
        <v>97.4</v>
      </c>
      <c r="M11" s="21" t="s">
        <v>21</v>
      </c>
      <c r="N11" s="21" t="s">
        <v>21</v>
      </c>
      <c r="O11" s="20">
        <v>2.6</v>
      </c>
      <c r="P11" s="21" t="s">
        <v>21</v>
      </c>
      <c r="Q11" s="21" t="s">
        <v>21</v>
      </c>
      <c r="R11" s="20">
        <v>100</v>
      </c>
      <c r="T11" s="14" t="s">
        <v>22</v>
      </c>
      <c r="U11" s="20">
        <v>0.7</v>
      </c>
      <c r="V11" s="21" t="s">
        <v>21</v>
      </c>
      <c r="W11" s="21" t="s">
        <v>21</v>
      </c>
      <c r="X11" s="20">
        <v>0.2</v>
      </c>
      <c r="Y11" s="21" t="s">
        <v>21</v>
      </c>
      <c r="Z11" s="35" t="s">
        <v>21</v>
      </c>
      <c r="AA11" s="20">
        <v>0.6</v>
      </c>
    </row>
    <row r="12" spans="1:28" s="22" customFormat="1" ht="20.25" customHeight="1" x14ac:dyDescent="0.2">
      <c r="A12" s="14" t="s">
        <v>23</v>
      </c>
      <c r="B12" s="18">
        <v>273803.59999999998</v>
      </c>
      <c r="C12" s="19">
        <v>0</v>
      </c>
      <c r="D12" s="19">
        <v>0</v>
      </c>
      <c r="E12" s="18">
        <v>15138.1</v>
      </c>
      <c r="F12" s="19">
        <v>0</v>
      </c>
      <c r="G12" s="19">
        <v>0</v>
      </c>
      <c r="H12" s="18">
        <v>288941.69999999995</v>
      </c>
      <c r="I12" s="18"/>
      <c r="J12" s="18"/>
      <c r="K12" s="14" t="s">
        <v>23</v>
      </c>
      <c r="L12" s="20">
        <v>94.8</v>
      </c>
      <c r="M12" s="21" t="s">
        <v>21</v>
      </c>
      <c r="N12" s="21" t="s">
        <v>21</v>
      </c>
      <c r="O12" s="20">
        <v>5.2</v>
      </c>
      <c r="P12" s="21" t="s">
        <v>21</v>
      </c>
      <c r="Q12" s="21" t="s">
        <v>21</v>
      </c>
      <c r="R12" s="20">
        <v>100</v>
      </c>
      <c r="T12" s="14" t="s">
        <v>23</v>
      </c>
      <c r="U12" s="20">
        <v>59.9</v>
      </c>
      <c r="V12" s="21" t="s">
        <v>21</v>
      </c>
      <c r="W12" s="21" t="s">
        <v>21</v>
      </c>
      <c r="X12" s="20">
        <v>27.2</v>
      </c>
      <c r="Y12" s="21" t="s">
        <v>21</v>
      </c>
      <c r="Z12" s="35" t="s">
        <v>21</v>
      </c>
      <c r="AA12" s="20">
        <v>49.4</v>
      </c>
    </row>
    <row r="13" spans="1:28" s="22" customFormat="1" ht="20.25" customHeight="1" x14ac:dyDescent="0.2">
      <c r="A13" s="14" t="s">
        <v>24</v>
      </c>
      <c r="B13" s="18">
        <v>20788</v>
      </c>
      <c r="C13" s="19">
        <v>0</v>
      </c>
      <c r="D13" s="19">
        <v>0</v>
      </c>
      <c r="E13" s="19">
        <v>0</v>
      </c>
      <c r="F13" s="19">
        <v>0</v>
      </c>
      <c r="G13" s="19">
        <v>0</v>
      </c>
      <c r="H13" s="18">
        <v>20788</v>
      </c>
      <c r="I13" s="18"/>
      <c r="J13" s="18"/>
      <c r="K13" s="14" t="s">
        <v>24</v>
      </c>
      <c r="L13" s="20">
        <v>100</v>
      </c>
      <c r="M13" s="21" t="s">
        <v>21</v>
      </c>
      <c r="N13" s="21" t="s">
        <v>21</v>
      </c>
      <c r="O13" s="21" t="s">
        <v>21</v>
      </c>
      <c r="P13" s="21" t="s">
        <v>21</v>
      </c>
      <c r="Q13" s="21" t="s">
        <v>21</v>
      </c>
      <c r="R13" s="20">
        <v>100</v>
      </c>
      <c r="T13" s="14" t="s">
        <v>24</v>
      </c>
      <c r="U13" s="20">
        <v>4.5999999999999996</v>
      </c>
      <c r="V13" s="21" t="s">
        <v>21</v>
      </c>
      <c r="W13" s="21" t="s">
        <v>21</v>
      </c>
      <c r="X13" s="21" t="s">
        <v>21</v>
      </c>
      <c r="Y13" s="21" t="s">
        <v>21</v>
      </c>
      <c r="Z13" s="35" t="s">
        <v>21</v>
      </c>
      <c r="AA13" s="20">
        <v>3.6</v>
      </c>
    </row>
    <row r="14" spans="1:28" s="22" customFormat="1" ht="20.25" customHeight="1" x14ac:dyDescent="0.2">
      <c r="A14" s="14" t="s">
        <v>25</v>
      </c>
      <c r="B14" s="18">
        <v>38080.9</v>
      </c>
      <c r="C14" s="19">
        <v>0</v>
      </c>
      <c r="D14" s="19">
        <v>0</v>
      </c>
      <c r="E14" s="19">
        <v>0</v>
      </c>
      <c r="F14" s="19">
        <v>0</v>
      </c>
      <c r="G14" s="19">
        <v>0</v>
      </c>
      <c r="H14" s="18">
        <v>38080.9</v>
      </c>
      <c r="I14" s="18"/>
      <c r="J14" s="18"/>
      <c r="K14" s="14" t="s">
        <v>25</v>
      </c>
      <c r="L14" s="20">
        <v>100</v>
      </c>
      <c r="M14" s="21" t="s">
        <v>21</v>
      </c>
      <c r="N14" s="21" t="s">
        <v>21</v>
      </c>
      <c r="O14" s="21" t="s">
        <v>21</v>
      </c>
      <c r="P14" s="21" t="s">
        <v>21</v>
      </c>
      <c r="Q14" s="21" t="s">
        <v>21</v>
      </c>
      <c r="R14" s="20">
        <v>100</v>
      </c>
      <c r="T14" s="14" t="s">
        <v>25</v>
      </c>
      <c r="U14" s="20">
        <v>8.3000000000000007</v>
      </c>
      <c r="V14" s="21" t="s">
        <v>21</v>
      </c>
      <c r="W14" s="21" t="s">
        <v>21</v>
      </c>
      <c r="X14" s="21" t="s">
        <v>21</v>
      </c>
      <c r="Y14" s="21" t="s">
        <v>21</v>
      </c>
      <c r="Z14" s="35" t="s">
        <v>21</v>
      </c>
      <c r="AA14" s="20">
        <v>6.5</v>
      </c>
    </row>
    <row r="15" spans="1:28" s="22" customFormat="1" ht="35.25" customHeight="1" x14ac:dyDescent="0.2">
      <c r="A15" s="14" t="s">
        <v>26</v>
      </c>
      <c r="B15" s="18">
        <v>26853.5</v>
      </c>
      <c r="C15" s="19">
        <v>0</v>
      </c>
      <c r="D15" s="19">
        <v>0</v>
      </c>
      <c r="E15" s="18">
        <v>4738.5</v>
      </c>
      <c r="F15" s="19">
        <v>0</v>
      </c>
      <c r="G15" s="19">
        <v>0</v>
      </c>
      <c r="H15" s="18">
        <v>31592</v>
      </c>
      <c r="I15" s="18"/>
      <c r="J15" s="18"/>
      <c r="K15" s="14" t="s">
        <v>26</v>
      </c>
      <c r="L15" s="20">
        <v>85</v>
      </c>
      <c r="M15" s="21" t="s">
        <v>21</v>
      </c>
      <c r="N15" s="21" t="s">
        <v>21</v>
      </c>
      <c r="O15" s="20">
        <v>15</v>
      </c>
      <c r="P15" s="21" t="s">
        <v>21</v>
      </c>
      <c r="Q15" s="21" t="s">
        <v>21</v>
      </c>
      <c r="R15" s="20">
        <v>100</v>
      </c>
      <c r="T15" s="14" t="s">
        <v>26</v>
      </c>
      <c r="U15" s="20">
        <v>5.9</v>
      </c>
      <c r="V15" s="21" t="s">
        <v>21</v>
      </c>
      <c r="W15" s="21" t="s">
        <v>21</v>
      </c>
      <c r="X15" s="20">
        <v>8.5</v>
      </c>
      <c r="Y15" s="21" t="s">
        <v>21</v>
      </c>
      <c r="Z15" s="35" t="s">
        <v>21</v>
      </c>
      <c r="AA15" s="20">
        <v>5.4</v>
      </c>
    </row>
    <row r="16" spans="1:28" s="22" customFormat="1" ht="20.25" customHeight="1" x14ac:dyDescent="0.2">
      <c r="A16" s="14" t="s">
        <v>27</v>
      </c>
      <c r="B16" s="18">
        <v>18563.2</v>
      </c>
      <c r="C16" s="19">
        <v>0</v>
      </c>
      <c r="D16" s="19">
        <v>0</v>
      </c>
      <c r="E16" s="18">
        <v>2475.6999999999998</v>
      </c>
      <c r="F16" s="19">
        <v>0</v>
      </c>
      <c r="G16" s="19">
        <v>0</v>
      </c>
      <c r="H16" s="18">
        <v>21038.9</v>
      </c>
      <c r="I16" s="18"/>
      <c r="J16" s="18"/>
      <c r="K16" s="14" t="s">
        <v>27</v>
      </c>
      <c r="L16" s="20">
        <v>88.2</v>
      </c>
      <c r="M16" s="21" t="s">
        <v>21</v>
      </c>
      <c r="N16" s="21" t="s">
        <v>21</v>
      </c>
      <c r="O16" s="20">
        <v>11.8</v>
      </c>
      <c r="P16" s="21" t="s">
        <v>21</v>
      </c>
      <c r="Q16" s="21" t="s">
        <v>21</v>
      </c>
      <c r="R16" s="20">
        <v>100</v>
      </c>
      <c r="T16" s="14" t="s">
        <v>27</v>
      </c>
      <c r="U16" s="20">
        <v>4.0999999999999996</v>
      </c>
      <c r="V16" s="21" t="s">
        <v>21</v>
      </c>
      <c r="W16" s="21" t="s">
        <v>21</v>
      </c>
      <c r="X16" s="20">
        <v>4.5</v>
      </c>
      <c r="Y16" s="21" t="s">
        <v>21</v>
      </c>
      <c r="Z16" s="35" t="s">
        <v>21</v>
      </c>
      <c r="AA16" s="20">
        <v>3.6</v>
      </c>
    </row>
    <row r="17" spans="1:28" s="22" customFormat="1" ht="20.25" customHeight="1" x14ac:dyDescent="0.2">
      <c r="A17" s="14" t="s">
        <v>28</v>
      </c>
      <c r="B17" s="18">
        <v>17162.599999999999</v>
      </c>
      <c r="C17" s="19">
        <v>0</v>
      </c>
      <c r="D17" s="19">
        <v>0</v>
      </c>
      <c r="E17" s="18">
        <v>5460.2</v>
      </c>
      <c r="F17" s="19">
        <v>0</v>
      </c>
      <c r="G17" s="19">
        <v>0</v>
      </c>
      <c r="H17" s="18">
        <v>22622.799999999999</v>
      </c>
      <c r="I17" s="18"/>
      <c r="J17" s="18"/>
      <c r="K17" s="14" t="s">
        <v>28</v>
      </c>
      <c r="L17" s="20">
        <v>75.900000000000006</v>
      </c>
      <c r="M17" s="21" t="s">
        <v>21</v>
      </c>
      <c r="N17" s="21" t="s">
        <v>21</v>
      </c>
      <c r="O17" s="20">
        <v>24.1</v>
      </c>
      <c r="P17" s="21" t="s">
        <v>21</v>
      </c>
      <c r="Q17" s="21" t="s">
        <v>21</v>
      </c>
      <c r="R17" s="20">
        <v>100</v>
      </c>
      <c r="T17" s="14" t="s">
        <v>28</v>
      </c>
      <c r="U17" s="20">
        <v>3.6999999999999997</v>
      </c>
      <c r="V17" s="21" t="s">
        <v>21</v>
      </c>
      <c r="W17" s="21" t="s">
        <v>21</v>
      </c>
      <c r="X17" s="20">
        <v>9.8000000000000007</v>
      </c>
      <c r="Y17" s="21" t="s">
        <v>21</v>
      </c>
      <c r="Z17" s="35" t="s">
        <v>21</v>
      </c>
      <c r="AA17" s="20">
        <v>3.8</v>
      </c>
    </row>
    <row r="18" spans="1:28" s="22" customFormat="1" ht="20.25" customHeight="1" x14ac:dyDescent="0.2">
      <c r="A18" s="14" t="s">
        <v>29</v>
      </c>
      <c r="B18" s="18">
        <v>16753.2</v>
      </c>
      <c r="C18" s="19">
        <v>0</v>
      </c>
      <c r="D18" s="19">
        <v>0</v>
      </c>
      <c r="E18" s="51">
        <v>0</v>
      </c>
      <c r="F18" s="19">
        <v>0</v>
      </c>
      <c r="G18" s="19">
        <v>0</v>
      </c>
      <c r="H18" s="18">
        <v>16753.2</v>
      </c>
      <c r="I18" s="18"/>
      <c r="J18" s="18"/>
      <c r="K18" s="14" t="s">
        <v>29</v>
      </c>
      <c r="L18" s="20">
        <v>100</v>
      </c>
      <c r="M18" s="21" t="s">
        <v>21</v>
      </c>
      <c r="N18" s="21" t="s">
        <v>21</v>
      </c>
      <c r="O18" s="35" t="s">
        <v>21</v>
      </c>
      <c r="P18" s="21" t="s">
        <v>21</v>
      </c>
      <c r="Q18" s="21" t="s">
        <v>21</v>
      </c>
      <c r="R18" s="20">
        <v>100</v>
      </c>
      <c r="T18" s="14" t="s">
        <v>29</v>
      </c>
      <c r="U18" s="20">
        <v>3.7</v>
      </c>
      <c r="V18" s="21" t="s">
        <v>21</v>
      </c>
      <c r="W18" s="21" t="s">
        <v>21</v>
      </c>
      <c r="X18" s="35" t="s">
        <v>21</v>
      </c>
      <c r="Y18" s="21" t="s">
        <v>21</v>
      </c>
      <c r="Z18" s="35" t="s">
        <v>21</v>
      </c>
      <c r="AA18" s="20">
        <v>2.9</v>
      </c>
    </row>
    <row r="19" spans="1:28" s="22" customFormat="1" ht="20.25" customHeight="1" x14ac:dyDescent="0.2">
      <c r="A19" s="14" t="s">
        <v>30</v>
      </c>
      <c r="B19" s="39">
        <v>0</v>
      </c>
      <c r="C19" s="18">
        <v>22835.3</v>
      </c>
      <c r="D19" s="19">
        <v>0</v>
      </c>
      <c r="E19" s="18">
        <v>234.3</v>
      </c>
      <c r="F19" s="18"/>
      <c r="G19" s="39">
        <v>0</v>
      </c>
      <c r="H19" s="18">
        <v>23069.599999999999</v>
      </c>
      <c r="I19" s="18"/>
      <c r="J19" s="18"/>
      <c r="K19" s="14" t="s">
        <v>30</v>
      </c>
      <c r="L19" s="21" t="s">
        <v>21</v>
      </c>
      <c r="M19" s="20">
        <v>99</v>
      </c>
      <c r="N19" s="21" t="s">
        <v>21</v>
      </c>
      <c r="O19" s="20">
        <v>1</v>
      </c>
      <c r="P19" s="20" t="s">
        <v>21</v>
      </c>
      <c r="Q19" s="21" t="s">
        <v>21</v>
      </c>
      <c r="R19" s="20">
        <v>100</v>
      </c>
      <c r="T19" s="14" t="s">
        <v>30</v>
      </c>
      <c r="U19" s="21" t="s">
        <v>21</v>
      </c>
      <c r="V19" s="20">
        <v>100</v>
      </c>
      <c r="W19" s="21" t="s">
        <v>21</v>
      </c>
      <c r="X19" s="20">
        <v>0.4</v>
      </c>
      <c r="Y19" s="20" t="s">
        <v>21</v>
      </c>
      <c r="Z19" s="35" t="s">
        <v>21</v>
      </c>
      <c r="AA19" s="20">
        <v>3.9</v>
      </c>
    </row>
    <row r="20" spans="1:28" s="22" customFormat="1" ht="20.25" customHeight="1" x14ac:dyDescent="0.2">
      <c r="A20" s="14" t="s">
        <v>31</v>
      </c>
      <c r="B20" s="18">
        <v>7431.9</v>
      </c>
      <c r="C20" s="19">
        <v>0</v>
      </c>
      <c r="D20" s="19">
        <v>0</v>
      </c>
      <c r="E20" s="18">
        <v>343.7</v>
      </c>
      <c r="F20" s="19">
        <v>0</v>
      </c>
      <c r="G20" s="19">
        <v>0</v>
      </c>
      <c r="H20" s="18">
        <v>7775.5999999999995</v>
      </c>
      <c r="I20" s="18"/>
      <c r="J20" s="18"/>
      <c r="K20" s="14" t="s">
        <v>31</v>
      </c>
      <c r="L20" s="20">
        <v>95.6</v>
      </c>
      <c r="M20" s="21" t="s">
        <v>21</v>
      </c>
      <c r="N20" s="21" t="s">
        <v>21</v>
      </c>
      <c r="O20" s="20">
        <v>4.4000000000000004</v>
      </c>
      <c r="P20" s="21" t="s">
        <v>21</v>
      </c>
      <c r="Q20" s="21" t="s">
        <v>21</v>
      </c>
      <c r="R20" s="20">
        <v>100</v>
      </c>
      <c r="T20" s="14" t="s">
        <v>31</v>
      </c>
      <c r="U20" s="20">
        <v>1.6</v>
      </c>
      <c r="V20" s="21" t="s">
        <v>21</v>
      </c>
      <c r="W20" s="21" t="s">
        <v>21</v>
      </c>
      <c r="X20" s="20">
        <v>0.6</v>
      </c>
      <c r="Y20" s="21" t="s">
        <v>21</v>
      </c>
      <c r="Z20" s="35" t="s">
        <v>21</v>
      </c>
      <c r="AA20" s="20">
        <v>1.3</v>
      </c>
    </row>
    <row r="21" spans="1:28" s="22" customFormat="1" ht="20.25" customHeight="1" x14ac:dyDescent="0.2">
      <c r="A21" s="14" t="s">
        <v>32</v>
      </c>
      <c r="B21" s="52">
        <v>0</v>
      </c>
      <c r="C21" s="19">
        <v>0</v>
      </c>
      <c r="D21" s="19">
        <v>0</v>
      </c>
      <c r="E21" s="18">
        <v>2358.6999999999998</v>
      </c>
      <c r="F21" s="19">
        <v>0</v>
      </c>
      <c r="G21" s="19">
        <v>0</v>
      </c>
      <c r="H21" s="18">
        <v>2358.6999999999998</v>
      </c>
      <c r="I21" s="18"/>
      <c r="J21" s="18"/>
      <c r="K21" s="14" t="s">
        <v>32</v>
      </c>
      <c r="L21" s="21" t="s">
        <v>21</v>
      </c>
      <c r="M21" s="21" t="s">
        <v>21</v>
      </c>
      <c r="N21" s="21" t="s">
        <v>21</v>
      </c>
      <c r="O21" s="20">
        <v>100</v>
      </c>
      <c r="P21" s="21" t="s">
        <v>21</v>
      </c>
      <c r="Q21" s="21" t="s">
        <v>21</v>
      </c>
      <c r="R21" s="20">
        <v>100</v>
      </c>
      <c r="T21" s="14" t="s">
        <v>32</v>
      </c>
      <c r="U21" s="21" t="s">
        <v>21</v>
      </c>
      <c r="V21" s="21" t="s">
        <v>21</v>
      </c>
      <c r="W21" s="21" t="s">
        <v>21</v>
      </c>
      <c r="X21" s="20">
        <v>4.2</v>
      </c>
      <c r="Y21" s="21" t="s">
        <v>21</v>
      </c>
      <c r="Z21" s="35" t="s">
        <v>21</v>
      </c>
      <c r="AA21" s="20">
        <v>0.4</v>
      </c>
    </row>
    <row r="22" spans="1:28" s="22" customFormat="1" ht="35.25" customHeight="1" x14ac:dyDescent="0.2">
      <c r="A22" s="14" t="s">
        <v>33</v>
      </c>
      <c r="B22" s="19">
        <v>0</v>
      </c>
      <c r="C22" s="19">
        <v>0</v>
      </c>
      <c r="D22" s="18">
        <v>11486.6</v>
      </c>
      <c r="E22" s="19">
        <v>0</v>
      </c>
      <c r="F22" s="19">
        <v>0</v>
      </c>
      <c r="G22" s="19">
        <v>0</v>
      </c>
      <c r="H22" s="18">
        <v>11486.6</v>
      </c>
      <c r="I22" s="18"/>
      <c r="J22" s="18"/>
      <c r="K22" s="14" t="s">
        <v>33</v>
      </c>
      <c r="L22" s="21" t="s">
        <v>21</v>
      </c>
      <c r="M22" s="21" t="s">
        <v>21</v>
      </c>
      <c r="N22" s="20">
        <v>100</v>
      </c>
      <c r="O22" s="21" t="s">
        <v>21</v>
      </c>
      <c r="P22" s="21" t="s">
        <v>21</v>
      </c>
      <c r="Q22" s="21" t="s">
        <v>21</v>
      </c>
      <c r="R22" s="20">
        <v>100</v>
      </c>
      <c r="T22" s="14" t="s">
        <v>33</v>
      </c>
      <c r="U22" s="21" t="s">
        <v>21</v>
      </c>
      <c r="V22" s="21" t="s">
        <v>21</v>
      </c>
      <c r="W22" s="20">
        <v>75.5</v>
      </c>
      <c r="X22" s="21" t="s">
        <v>21</v>
      </c>
      <c r="Y22" s="21" t="s">
        <v>21</v>
      </c>
      <c r="Z22" s="35" t="s">
        <v>21</v>
      </c>
      <c r="AA22" s="20">
        <v>2</v>
      </c>
    </row>
    <row r="23" spans="1:28" s="22" customFormat="1" ht="20.25" customHeight="1" x14ac:dyDescent="0.2">
      <c r="A23" s="14" t="s">
        <v>34</v>
      </c>
      <c r="B23" s="18">
        <v>2316.1</v>
      </c>
      <c r="C23" s="19">
        <v>0</v>
      </c>
      <c r="D23" s="18">
        <v>1025.0999999999999</v>
      </c>
      <c r="E23" s="18">
        <v>1.7</v>
      </c>
      <c r="F23" s="53">
        <v>0</v>
      </c>
      <c r="G23" s="19">
        <v>0</v>
      </c>
      <c r="H23" s="18">
        <v>3342.8999999999996</v>
      </c>
      <c r="I23" s="18"/>
      <c r="J23" s="18"/>
      <c r="K23" s="14" t="s">
        <v>34</v>
      </c>
      <c r="L23" s="20">
        <v>69.2</v>
      </c>
      <c r="M23" s="21" t="s">
        <v>21</v>
      </c>
      <c r="N23" s="20">
        <v>30.7</v>
      </c>
      <c r="O23" s="20">
        <v>0.1</v>
      </c>
      <c r="P23" s="54" t="s">
        <v>21</v>
      </c>
      <c r="Q23" s="21" t="s">
        <v>21</v>
      </c>
      <c r="R23" s="20">
        <v>100</v>
      </c>
      <c r="T23" s="14" t="s">
        <v>35</v>
      </c>
      <c r="U23" s="20">
        <v>0.5</v>
      </c>
      <c r="V23" s="21" t="s">
        <v>21</v>
      </c>
      <c r="W23" s="20">
        <v>6.7</v>
      </c>
      <c r="X23" s="20">
        <v>0</v>
      </c>
      <c r="Y23" s="21" t="s">
        <v>21</v>
      </c>
      <c r="Z23" s="35" t="s">
        <v>21</v>
      </c>
      <c r="AA23" s="20">
        <v>0.6</v>
      </c>
    </row>
    <row r="24" spans="1:28" s="22" customFormat="1" ht="20.25" customHeight="1" x14ac:dyDescent="0.2">
      <c r="A24" s="14" t="s">
        <v>36</v>
      </c>
      <c r="B24" s="18">
        <v>3239.3</v>
      </c>
      <c r="C24" s="19">
        <v>0</v>
      </c>
      <c r="D24" s="18">
        <v>2716</v>
      </c>
      <c r="E24" s="18">
        <v>65.599999999999994</v>
      </c>
      <c r="F24" s="18">
        <v>380.6</v>
      </c>
      <c r="G24" s="19">
        <v>0</v>
      </c>
      <c r="H24" s="18">
        <v>6401.5000000000009</v>
      </c>
      <c r="I24" s="18"/>
      <c r="J24" s="18"/>
      <c r="K24" s="14" t="s">
        <v>36</v>
      </c>
      <c r="L24" s="20">
        <v>50.7</v>
      </c>
      <c r="M24" s="21" t="s">
        <v>21</v>
      </c>
      <c r="N24" s="20">
        <v>42.4</v>
      </c>
      <c r="O24" s="20">
        <v>1</v>
      </c>
      <c r="P24" s="20">
        <v>5.9</v>
      </c>
      <c r="Q24" s="21" t="s">
        <v>21</v>
      </c>
      <c r="R24" s="20">
        <v>100</v>
      </c>
      <c r="T24" s="14" t="s">
        <v>36</v>
      </c>
      <c r="U24" s="20">
        <v>0.7</v>
      </c>
      <c r="V24" s="21" t="s">
        <v>21</v>
      </c>
      <c r="W24" s="20">
        <v>17.8</v>
      </c>
      <c r="X24" s="20">
        <v>0.1</v>
      </c>
      <c r="Y24" s="20">
        <v>12.7</v>
      </c>
      <c r="Z24" s="35" t="s">
        <v>21</v>
      </c>
      <c r="AA24" s="20">
        <v>1.1000000000000001</v>
      </c>
    </row>
    <row r="25" spans="1:28" s="22" customFormat="1" ht="20.25" customHeight="1" x14ac:dyDescent="0.2">
      <c r="A25" s="14" t="s">
        <v>37</v>
      </c>
      <c r="B25" s="18">
        <v>4883.2</v>
      </c>
      <c r="C25" s="19">
        <v>0</v>
      </c>
      <c r="D25" s="19">
        <v>0</v>
      </c>
      <c r="E25" s="18">
        <v>545.6</v>
      </c>
      <c r="F25" s="18">
        <v>2615.8000000000002</v>
      </c>
      <c r="G25" s="19">
        <v>0</v>
      </c>
      <c r="H25" s="18">
        <v>8044.6</v>
      </c>
      <c r="I25" s="18"/>
      <c r="J25" s="18"/>
      <c r="K25" s="14" t="s">
        <v>37</v>
      </c>
      <c r="L25" s="20">
        <v>60.7</v>
      </c>
      <c r="M25" s="21" t="s">
        <v>21</v>
      </c>
      <c r="N25" s="21" t="s">
        <v>21</v>
      </c>
      <c r="O25" s="20">
        <v>6.8</v>
      </c>
      <c r="P25" s="20">
        <v>32.5</v>
      </c>
      <c r="Q25" s="21" t="s">
        <v>21</v>
      </c>
      <c r="R25" s="20">
        <v>100</v>
      </c>
      <c r="T25" s="14" t="s">
        <v>37</v>
      </c>
      <c r="U25" s="20">
        <v>1.1000000000000001</v>
      </c>
      <c r="V25" s="21" t="s">
        <v>21</v>
      </c>
      <c r="W25" s="21" t="s">
        <v>21</v>
      </c>
      <c r="X25" s="20">
        <v>1</v>
      </c>
      <c r="Y25" s="20">
        <v>87.3</v>
      </c>
      <c r="Z25" s="35" t="s">
        <v>21</v>
      </c>
      <c r="AA25" s="20">
        <v>1.4</v>
      </c>
    </row>
    <row r="26" spans="1:28" s="22" customFormat="1" ht="20.25" customHeight="1" x14ac:dyDescent="0.2">
      <c r="A26" s="22" t="s">
        <v>47</v>
      </c>
      <c r="B26" s="39">
        <v>0</v>
      </c>
      <c r="C26" s="39">
        <v>0</v>
      </c>
      <c r="D26" s="39">
        <v>0</v>
      </c>
      <c r="E26" s="39">
        <v>0</v>
      </c>
      <c r="F26" s="39">
        <v>0</v>
      </c>
      <c r="G26" s="18">
        <v>30987.1</v>
      </c>
      <c r="H26" s="38">
        <v>30987.1</v>
      </c>
      <c r="I26" s="38"/>
      <c r="J26" s="18"/>
      <c r="K26" s="22" t="s">
        <v>47</v>
      </c>
      <c r="L26" s="35" t="s">
        <v>21</v>
      </c>
      <c r="M26" s="35" t="s">
        <v>21</v>
      </c>
      <c r="N26" s="35" t="s">
        <v>21</v>
      </c>
      <c r="O26" s="35" t="s">
        <v>21</v>
      </c>
      <c r="P26" s="35" t="s">
        <v>21</v>
      </c>
      <c r="Q26" s="20">
        <v>100</v>
      </c>
      <c r="R26" s="48">
        <v>100</v>
      </c>
      <c r="T26" s="22" t="s">
        <v>47</v>
      </c>
      <c r="U26" s="35" t="s">
        <v>21</v>
      </c>
      <c r="V26" s="35" t="s">
        <v>21</v>
      </c>
      <c r="W26" s="35" t="s">
        <v>21</v>
      </c>
      <c r="X26" s="35" t="s">
        <v>21</v>
      </c>
      <c r="Y26" s="35" t="s">
        <v>21</v>
      </c>
      <c r="Z26" s="20">
        <v>100</v>
      </c>
      <c r="AA26" s="48">
        <v>5.3</v>
      </c>
    </row>
    <row r="27" spans="1:28" s="22" customFormat="1" ht="24.75" customHeight="1" thickBot="1" x14ac:dyDescent="0.25">
      <c r="A27" s="23" t="s">
        <v>38</v>
      </c>
      <c r="B27" s="49">
        <v>456617.3</v>
      </c>
      <c r="C27" s="49">
        <v>22835.3</v>
      </c>
      <c r="D27" s="49">
        <v>15227.7</v>
      </c>
      <c r="E27" s="49">
        <v>55599.299999999981</v>
      </c>
      <c r="F27" s="49">
        <v>2996.4</v>
      </c>
      <c r="G27" s="49">
        <v>30987.1</v>
      </c>
      <c r="H27" s="49">
        <v>584263.1</v>
      </c>
      <c r="I27" s="96"/>
      <c r="J27" s="18"/>
      <c r="K27" s="23" t="s">
        <v>38</v>
      </c>
      <c r="L27" s="50">
        <v>78.2</v>
      </c>
      <c r="M27" s="50">
        <v>3.9</v>
      </c>
      <c r="N27" s="50">
        <v>2.6</v>
      </c>
      <c r="O27" s="50">
        <v>9.5</v>
      </c>
      <c r="P27" s="50">
        <v>0.5</v>
      </c>
      <c r="Q27" s="50">
        <v>5.3</v>
      </c>
      <c r="R27" s="50">
        <v>100</v>
      </c>
      <c r="T27" s="23" t="s">
        <v>38</v>
      </c>
      <c r="U27" s="50">
        <v>99.999999999999986</v>
      </c>
      <c r="V27" s="50">
        <v>100</v>
      </c>
      <c r="W27" s="50">
        <v>100</v>
      </c>
      <c r="X27" s="50">
        <v>100</v>
      </c>
      <c r="Y27" s="50">
        <v>100</v>
      </c>
      <c r="Z27" s="50">
        <v>100</v>
      </c>
      <c r="AA27" s="50">
        <v>100</v>
      </c>
    </row>
    <row r="28" spans="1:28" s="26" customFormat="1" ht="15" customHeight="1" x14ac:dyDescent="0.2">
      <c r="A28" s="83" t="s">
        <v>39</v>
      </c>
      <c r="B28" s="83"/>
      <c r="C28" s="83"/>
      <c r="D28" s="83"/>
      <c r="E28" s="83"/>
      <c r="F28" s="83"/>
      <c r="G28" s="83"/>
      <c r="H28" s="83"/>
      <c r="I28" s="66"/>
      <c r="J28" s="32"/>
      <c r="K28" s="83" t="s">
        <v>39</v>
      </c>
      <c r="L28" s="83"/>
      <c r="M28" s="83"/>
      <c r="N28" s="83"/>
      <c r="O28" s="83"/>
      <c r="P28" s="83"/>
      <c r="Q28" s="83"/>
      <c r="R28" s="83"/>
      <c r="T28" s="83" t="s">
        <v>39</v>
      </c>
      <c r="U28" s="83"/>
      <c r="V28" s="83"/>
      <c r="W28" s="83"/>
      <c r="X28" s="83"/>
      <c r="Y28" s="83"/>
      <c r="Z28" s="83"/>
      <c r="AA28" s="83"/>
      <c r="AB28" s="28"/>
    </row>
    <row r="29" spans="1:28" s="26" customFormat="1" ht="15" customHeight="1" x14ac:dyDescent="0.2">
      <c r="A29" s="71" t="s">
        <v>40</v>
      </c>
      <c r="B29" s="71"/>
      <c r="C29" s="71"/>
      <c r="D29" s="71"/>
      <c r="E29" s="71"/>
      <c r="F29" s="71"/>
      <c r="G29" s="71"/>
      <c r="H29" s="71"/>
      <c r="I29" s="63"/>
      <c r="K29" s="71" t="s">
        <v>40</v>
      </c>
      <c r="L29" s="71"/>
      <c r="M29" s="71"/>
      <c r="N29" s="71"/>
      <c r="O29" s="71"/>
      <c r="P29" s="71"/>
      <c r="Q29" s="71"/>
      <c r="R29" s="71"/>
      <c r="T29" s="71" t="s">
        <v>40</v>
      </c>
      <c r="U29" s="71"/>
      <c r="V29" s="71"/>
      <c r="W29" s="71"/>
      <c r="X29" s="71"/>
      <c r="Y29" s="71"/>
      <c r="Z29" s="71"/>
      <c r="AA29" s="71"/>
      <c r="AB29" s="27"/>
    </row>
    <row r="30" spans="1:28" s="26" customFormat="1" ht="15" customHeight="1" x14ac:dyDescent="0.2">
      <c r="A30" s="82" t="s">
        <v>41</v>
      </c>
      <c r="B30" s="82"/>
      <c r="C30" s="82"/>
      <c r="D30" s="82"/>
      <c r="E30" s="82"/>
      <c r="F30" s="82"/>
      <c r="G30" s="82"/>
      <c r="H30" s="82"/>
      <c r="I30" s="64"/>
      <c r="K30" s="82" t="s">
        <v>41</v>
      </c>
      <c r="L30" s="82"/>
      <c r="M30" s="82"/>
      <c r="N30" s="82"/>
      <c r="O30" s="82"/>
      <c r="P30" s="82"/>
      <c r="Q30" s="82"/>
      <c r="R30" s="82"/>
      <c r="T30" s="82" t="s">
        <v>41</v>
      </c>
      <c r="U30" s="82"/>
      <c r="V30" s="82"/>
      <c r="W30" s="82"/>
      <c r="X30" s="82"/>
      <c r="Y30" s="82"/>
      <c r="Z30" s="82"/>
      <c r="AA30" s="82"/>
    </row>
    <row r="31" spans="1:28" s="26" customFormat="1" ht="15" customHeight="1" x14ac:dyDescent="0.2">
      <c r="A31" s="82" t="s">
        <v>48</v>
      </c>
      <c r="B31" s="82"/>
      <c r="C31" s="82"/>
      <c r="D31" s="82"/>
      <c r="E31" s="82"/>
      <c r="F31" s="82"/>
      <c r="G31" s="82"/>
      <c r="H31" s="82"/>
      <c r="I31" s="64"/>
      <c r="K31" s="82" t="s">
        <v>48</v>
      </c>
      <c r="L31" s="82"/>
      <c r="M31" s="82"/>
      <c r="N31" s="82"/>
      <c r="O31" s="82"/>
      <c r="P31" s="82"/>
      <c r="Q31" s="82"/>
      <c r="R31" s="82"/>
      <c r="T31" s="82" t="s">
        <v>48</v>
      </c>
      <c r="U31" s="82"/>
      <c r="V31" s="82"/>
      <c r="W31" s="82"/>
      <c r="X31" s="82"/>
      <c r="Y31" s="82"/>
      <c r="Z31" s="82"/>
      <c r="AA31" s="82"/>
    </row>
    <row r="32" spans="1:28" s="26" customFormat="1" ht="15" customHeight="1" x14ac:dyDescent="0.2">
      <c r="A32" s="81" t="s">
        <v>42</v>
      </c>
      <c r="B32" s="81"/>
      <c r="C32" s="81"/>
      <c r="D32" s="81"/>
      <c r="E32" s="81"/>
      <c r="F32" s="81"/>
      <c r="G32" s="81"/>
      <c r="H32" s="81"/>
      <c r="I32" s="60"/>
      <c r="K32" s="81" t="s">
        <v>42</v>
      </c>
      <c r="L32" s="81"/>
      <c r="M32" s="81"/>
      <c r="N32" s="81"/>
      <c r="O32" s="81"/>
      <c r="P32" s="81"/>
      <c r="Q32" s="81"/>
      <c r="R32" s="81"/>
      <c r="T32" s="81" t="s">
        <v>42</v>
      </c>
      <c r="U32" s="81"/>
      <c r="V32" s="81"/>
      <c r="W32" s="81"/>
      <c r="X32" s="81"/>
      <c r="Y32" s="81"/>
      <c r="Z32" s="81"/>
      <c r="AA32" s="81"/>
    </row>
    <row r="33" spans="1:27" s="26" customFormat="1" ht="15" customHeight="1" x14ac:dyDescent="0.2">
      <c r="A33" s="81" t="s">
        <v>43</v>
      </c>
      <c r="B33" s="81"/>
      <c r="C33" s="81"/>
      <c r="D33" s="81"/>
      <c r="E33" s="81"/>
      <c r="F33" s="81"/>
      <c r="G33" s="81"/>
      <c r="H33" s="81"/>
      <c r="I33" s="60"/>
      <c r="K33" s="81" t="s">
        <v>43</v>
      </c>
      <c r="L33" s="81"/>
      <c r="M33" s="81"/>
      <c r="N33" s="81"/>
      <c r="O33" s="81"/>
      <c r="P33" s="81"/>
      <c r="Q33" s="81"/>
      <c r="R33" s="81"/>
      <c r="T33" s="81" t="s">
        <v>43</v>
      </c>
      <c r="U33" s="81"/>
      <c r="V33" s="81"/>
      <c r="W33" s="81"/>
      <c r="X33" s="81"/>
      <c r="Y33" s="81"/>
      <c r="Z33" s="81"/>
      <c r="AA33" s="81"/>
    </row>
  </sheetData>
  <mergeCells count="54">
    <mergeCell ref="A33:H33"/>
    <mergeCell ref="K33:R33"/>
    <mergeCell ref="T33:AA33"/>
    <mergeCell ref="K7:R7"/>
    <mergeCell ref="V8:V9"/>
    <mergeCell ref="X8:X9"/>
    <mergeCell ref="A32:H32"/>
    <mergeCell ref="A29:H29"/>
    <mergeCell ref="H8:H9"/>
    <mergeCell ref="F8:F9"/>
    <mergeCell ref="E8:E9"/>
    <mergeCell ref="B8:B9"/>
    <mergeCell ref="A30:H30"/>
    <mergeCell ref="T7:AA7"/>
    <mergeCell ref="U8:U9"/>
    <mergeCell ref="K32:R32"/>
    <mergeCell ref="A1:H1"/>
    <mergeCell ref="A7:H7"/>
    <mergeCell ref="K1:R1"/>
    <mergeCell ref="A6:H6"/>
    <mergeCell ref="O8:O9"/>
    <mergeCell ref="G8:G9"/>
    <mergeCell ref="Q8:Q9"/>
    <mergeCell ref="T32:AA32"/>
    <mergeCell ref="K30:R30"/>
    <mergeCell ref="T30:AA30"/>
    <mergeCell ref="T1:AA1"/>
    <mergeCell ref="C8:C9"/>
    <mergeCell ref="D8:D9"/>
    <mergeCell ref="R8:R9"/>
    <mergeCell ref="W8:W9"/>
    <mergeCell ref="A4:H4"/>
    <mergeCell ref="K4:R4"/>
    <mergeCell ref="T4:AA4"/>
    <mergeCell ref="T6:AA6"/>
    <mergeCell ref="K6:R6"/>
    <mergeCell ref="T5:AA5"/>
    <mergeCell ref="A5:H5"/>
    <mergeCell ref="K5:R5"/>
    <mergeCell ref="A31:H31"/>
    <mergeCell ref="K31:R31"/>
    <mergeCell ref="T31:AA31"/>
    <mergeCell ref="Z8:Z9"/>
    <mergeCell ref="K28:R28"/>
    <mergeCell ref="K29:R29"/>
    <mergeCell ref="A28:H28"/>
    <mergeCell ref="AA8:AA9"/>
    <mergeCell ref="N8:N9"/>
    <mergeCell ref="M8:M9"/>
    <mergeCell ref="T28:AA28"/>
    <mergeCell ref="T29:AA29"/>
    <mergeCell ref="P8:P9"/>
    <mergeCell ref="L8:L9"/>
    <mergeCell ref="Y8:Y9"/>
  </mergeCells>
  <phoneticPr fontId="2" type="noConversion"/>
  <printOptions horizontalCentered="1" verticalCentered="1"/>
  <pageMargins left="0.59055118110236227" right="0.59055118110236227" top="0" bottom="0.59055118110236227" header="0" footer="0"/>
  <pageSetup scale="68" orientation="landscape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/>
  <dimension ref="A1:AB50"/>
  <sheetViews>
    <sheetView showGridLines="0" topLeftCell="A7" zoomScale="85" zoomScaleNormal="85" zoomScaleSheetLayoutView="75" workbookViewId="0">
      <selection activeCell="H33" sqref="H33"/>
    </sheetView>
  </sheetViews>
  <sheetFormatPr defaultColWidth="10" defaultRowHeight="12.75" x14ac:dyDescent="0.2"/>
  <cols>
    <col min="1" max="1" width="58.75" style="1" customWidth="1"/>
    <col min="2" max="3" width="14.375" style="1" customWidth="1"/>
    <col min="4" max="8" width="13.625" style="1" customWidth="1"/>
    <col min="9" max="9" width="31.125" style="1" customWidth="1"/>
    <col min="10" max="10" width="6.75" style="1" customWidth="1"/>
    <col min="11" max="11" width="58.75" style="1" customWidth="1"/>
    <col min="12" max="12" width="14.25" style="1" customWidth="1"/>
    <col min="13" max="13" width="12.875" style="1" customWidth="1"/>
    <col min="14" max="18" width="13.625" style="1" customWidth="1"/>
    <col min="19" max="19" width="3.625" style="1" customWidth="1"/>
    <col min="20" max="20" width="58.75" style="1" customWidth="1"/>
    <col min="21" max="22" width="14.375" style="1" customWidth="1"/>
    <col min="23" max="27" width="13.625" style="1" customWidth="1"/>
    <col min="28" max="16384" width="10" style="1"/>
  </cols>
  <sheetData>
    <row r="1" spans="1:28" ht="15.75" customHeight="1" x14ac:dyDescent="0.2">
      <c r="A1" s="72"/>
      <c r="B1" s="72"/>
      <c r="C1" s="72"/>
      <c r="D1" s="72"/>
      <c r="E1" s="72"/>
      <c r="F1" s="72"/>
      <c r="G1" s="72"/>
      <c r="H1" s="72"/>
      <c r="I1" s="62"/>
      <c r="K1" s="72"/>
      <c r="L1" s="72"/>
      <c r="M1" s="72"/>
      <c r="N1" s="72"/>
      <c r="O1" s="72"/>
      <c r="P1" s="72"/>
      <c r="Q1" s="72"/>
      <c r="R1" s="72"/>
      <c r="T1" s="72"/>
      <c r="U1" s="72"/>
      <c r="V1" s="72"/>
      <c r="W1" s="72"/>
      <c r="X1" s="72"/>
      <c r="Y1" s="72"/>
      <c r="Z1" s="72"/>
      <c r="AA1" s="72"/>
      <c r="AB1" s="2"/>
    </row>
    <row r="2" spans="1:28" ht="15.75" customHeight="1" x14ac:dyDescent="0.2">
      <c r="A2" s="4"/>
      <c r="B2" s="4"/>
      <c r="C2" s="4"/>
      <c r="D2" s="4"/>
      <c r="E2" s="4"/>
      <c r="F2" s="4"/>
      <c r="G2" s="4"/>
      <c r="H2" s="4"/>
      <c r="I2" s="62"/>
      <c r="K2" s="4"/>
      <c r="L2" s="4"/>
      <c r="M2" s="4"/>
      <c r="N2" s="4"/>
      <c r="O2" s="4"/>
      <c r="P2" s="4"/>
      <c r="Q2" s="4"/>
      <c r="R2" s="4"/>
      <c r="T2" s="4"/>
      <c r="U2" s="4"/>
      <c r="V2" s="4"/>
      <c r="W2" s="4"/>
      <c r="X2" s="4"/>
      <c r="Y2" s="4"/>
      <c r="Z2" s="4"/>
      <c r="AA2" s="4"/>
      <c r="AB2" s="2"/>
    </row>
    <row r="3" spans="1:28" ht="15.75" customHeight="1" x14ac:dyDescent="0.2">
      <c r="A3" s="4"/>
      <c r="B3" s="4"/>
      <c r="C3" s="4"/>
      <c r="D3" s="4"/>
      <c r="E3" s="4"/>
      <c r="F3" s="4"/>
      <c r="G3" s="4"/>
      <c r="H3" s="4"/>
      <c r="I3" s="62"/>
      <c r="K3" s="4"/>
      <c r="L3" s="4"/>
      <c r="M3" s="4"/>
      <c r="N3" s="4"/>
      <c r="O3" s="4"/>
      <c r="P3" s="4"/>
      <c r="Q3" s="4"/>
      <c r="R3" s="4"/>
      <c r="T3" s="4"/>
      <c r="U3" s="4"/>
      <c r="V3" s="4"/>
      <c r="W3" s="4"/>
      <c r="X3" s="4"/>
      <c r="Y3" s="4"/>
      <c r="Z3" s="4"/>
      <c r="AA3" s="4"/>
      <c r="AB3" s="2"/>
    </row>
    <row r="4" spans="1:28" ht="20.25" customHeight="1" x14ac:dyDescent="0.2">
      <c r="A4" s="72"/>
      <c r="B4" s="72"/>
      <c r="C4" s="72"/>
      <c r="D4" s="72"/>
      <c r="E4" s="72"/>
      <c r="F4" s="72"/>
      <c r="G4" s="72"/>
      <c r="H4" s="72"/>
      <c r="I4" s="62"/>
      <c r="K4" s="72"/>
      <c r="L4" s="72"/>
      <c r="M4" s="72"/>
      <c r="N4" s="72"/>
      <c r="O4" s="72"/>
      <c r="P4" s="72"/>
      <c r="Q4" s="72"/>
      <c r="R4" s="72"/>
      <c r="T4" s="72"/>
      <c r="U4" s="72"/>
      <c r="V4" s="72"/>
      <c r="W4" s="72"/>
      <c r="X4" s="72"/>
      <c r="Y4" s="72"/>
      <c r="Z4" s="72"/>
      <c r="AA4" s="72"/>
      <c r="AB4" s="2"/>
    </row>
    <row r="5" spans="1:28" s="22" customFormat="1" ht="20.25" customHeight="1" x14ac:dyDescent="0.2">
      <c r="A5" s="73" t="s">
        <v>6</v>
      </c>
      <c r="B5" s="73"/>
      <c r="C5" s="73"/>
      <c r="D5" s="73"/>
      <c r="E5" s="73"/>
      <c r="F5" s="73"/>
      <c r="G5" s="73"/>
      <c r="H5" s="73"/>
      <c r="I5" s="61"/>
      <c r="K5" s="73" t="s">
        <v>6</v>
      </c>
      <c r="L5" s="73"/>
      <c r="M5" s="73"/>
      <c r="N5" s="73"/>
      <c r="O5" s="73"/>
      <c r="P5" s="73"/>
      <c r="Q5" s="73"/>
      <c r="R5" s="73"/>
      <c r="T5" s="73" t="s">
        <v>6</v>
      </c>
      <c r="U5" s="73"/>
      <c r="V5" s="73"/>
      <c r="W5" s="73"/>
      <c r="X5" s="73"/>
      <c r="Y5" s="73"/>
      <c r="Z5" s="73"/>
      <c r="AA5" s="73"/>
      <c r="AB5" s="40"/>
    </row>
    <row r="6" spans="1:28" s="22" customFormat="1" ht="20.25" customHeight="1" x14ac:dyDescent="0.2">
      <c r="A6" s="73" t="s">
        <v>49</v>
      </c>
      <c r="B6" s="90"/>
      <c r="C6" s="90"/>
      <c r="D6" s="90"/>
      <c r="E6" s="90"/>
      <c r="F6" s="90"/>
      <c r="G6" s="90"/>
      <c r="H6" s="90"/>
      <c r="I6" s="67"/>
      <c r="K6" s="73" t="s">
        <v>49</v>
      </c>
      <c r="L6" s="90"/>
      <c r="M6" s="90"/>
      <c r="N6" s="90"/>
      <c r="O6" s="90"/>
      <c r="P6" s="90"/>
      <c r="Q6" s="90"/>
      <c r="R6" s="90"/>
      <c r="T6" s="73" t="s">
        <v>49</v>
      </c>
      <c r="U6" s="90"/>
      <c r="V6" s="90"/>
      <c r="W6" s="90"/>
      <c r="X6" s="90"/>
      <c r="Y6" s="90"/>
      <c r="Z6" s="90"/>
      <c r="AA6" s="90"/>
    </row>
    <row r="7" spans="1:28" s="22" customFormat="1" ht="20.25" customHeight="1" thickBot="1" x14ac:dyDescent="0.25">
      <c r="A7" s="74" t="s">
        <v>9</v>
      </c>
      <c r="B7" s="92"/>
      <c r="C7" s="92"/>
      <c r="D7" s="92"/>
      <c r="E7" s="92"/>
      <c r="F7" s="92"/>
      <c r="G7" s="92"/>
      <c r="H7" s="92"/>
      <c r="I7" s="68"/>
      <c r="J7" s="18"/>
      <c r="K7" s="73" t="s">
        <v>10</v>
      </c>
      <c r="L7" s="73"/>
      <c r="M7" s="73"/>
      <c r="N7" s="73"/>
      <c r="O7" s="73"/>
      <c r="P7" s="73"/>
      <c r="Q7" s="73"/>
      <c r="R7" s="73"/>
      <c r="T7" s="73" t="s">
        <v>50</v>
      </c>
      <c r="U7" s="73"/>
      <c r="V7" s="73"/>
      <c r="W7" s="73"/>
      <c r="X7" s="73"/>
      <c r="Y7" s="73"/>
      <c r="Z7" s="73"/>
      <c r="AA7" s="73"/>
    </row>
    <row r="8" spans="1:28" s="12" customFormat="1" ht="20.25" customHeight="1" x14ac:dyDescent="0.2">
      <c r="A8" s="15" t="s">
        <v>12</v>
      </c>
      <c r="B8" s="75" t="s">
        <v>51</v>
      </c>
      <c r="C8" s="77" t="s">
        <v>52</v>
      </c>
      <c r="D8" s="77" t="s">
        <v>53</v>
      </c>
      <c r="E8" s="77" t="s">
        <v>54</v>
      </c>
      <c r="F8" s="77" t="s">
        <v>17</v>
      </c>
      <c r="G8" s="77" t="s">
        <v>46</v>
      </c>
      <c r="H8" s="79" t="s">
        <v>55</v>
      </c>
      <c r="I8" s="95"/>
      <c r="K8" s="15" t="s">
        <v>12</v>
      </c>
      <c r="L8" s="75" t="s">
        <v>51</v>
      </c>
      <c r="M8" s="77" t="s">
        <v>52</v>
      </c>
      <c r="N8" s="77" t="s">
        <v>15</v>
      </c>
      <c r="O8" s="77" t="s">
        <v>54</v>
      </c>
      <c r="P8" s="77" t="s">
        <v>17</v>
      </c>
      <c r="Q8" s="77" t="s">
        <v>46</v>
      </c>
      <c r="R8" s="79" t="s">
        <v>18</v>
      </c>
      <c r="T8" s="15" t="s">
        <v>12</v>
      </c>
      <c r="U8" s="75" t="s">
        <v>13</v>
      </c>
      <c r="V8" s="77" t="s">
        <v>14</v>
      </c>
      <c r="W8" s="77" t="s">
        <v>15</v>
      </c>
      <c r="X8" s="77" t="s">
        <v>16</v>
      </c>
      <c r="Y8" s="77" t="s">
        <v>17</v>
      </c>
      <c r="Z8" s="77" t="s">
        <v>46</v>
      </c>
      <c r="AA8" s="79" t="s">
        <v>18</v>
      </c>
    </row>
    <row r="9" spans="1:28" s="12" customFormat="1" ht="22.5" customHeight="1" x14ac:dyDescent="0.2">
      <c r="A9" s="16" t="s">
        <v>19</v>
      </c>
      <c r="B9" s="87"/>
      <c r="C9" s="84"/>
      <c r="D9" s="84"/>
      <c r="E9" s="84"/>
      <c r="F9" s="84"/>
      <c r="G9" s="78"/>
      <c r="H9" s="93"/>
      <c r="I9" s="95"/>
      <c r="K9" s="16" t="s">
        <v>19</v>
      </c>
      <c r="L9" s="87"/>
      <c r="M9" s="84"/>
      <c r="N9" s="84"/>
      <c r="O9" s="84"/>
      <c r="P9" s="84"/>
      <c r="Q9" s="78"/>
      <c r="R9" s="80"/>
      <c r="T9" s="16" t="s">
        <v>19</v>
      </c>
      <c r="U9" s="87"/>
      <c r="V9" s="84"/>
      <c r="W9" s="84"/>
      <c r="X9" s="84"/>
      <c r="Y9" s="84"/>
      <c r="Z9" s="78"/>
      <c r="AA9" s="80"/>
    </row>
    <row r="10" spans="1:28" s="22" customFormat="1" ht="20.25" customHeight="1" x14ac:dyDescent="0.2">
      <c r="A10" s="14" t="s">
        <v>20</v>
      </c>
      <c r="B10" s="18">
        <v>18507.999999999996</v>
      </c>
      <c r="C10" s="19">
        <v>0</v>
      </c>
      <c r="D10" s="19">
        <v>0</v>
      </c>
      <c r="E10" s="18">
        <v>46365.599999999999</v>
      </c>
      <c r="F10" s="19">
        <v>0</v>
      </c>
      <c r="G10" s="19">
        <v>0</v>
      </c>
      <c r="H10" s="18">
        <v>64873.599999999991</v>
      </c>
      <c r="I10" s="18"/>
      <c r="K10" s="14" t="s">
        <v>20</v>
      </c>
      <c r="L10" s="20">
        <v>28.5</v>
      </c>
      <c r="M10" s="21" t="s">
        <v>21</v>
      </c>
      <c r="N10" s="21" t="s">
        <v>21</v>
      </c>
      <c r="O10" s="20">
        <v>71.5</v>
      </c>
      <c r="P10" s="21" t="s">
        <v>21</v>
      </c>
      <c r="Q10" s="21" t="s">
        <v>21</v>
      </c>
      <c r="R10" s="20">
        <v>100</v>
      </c>
      <c r="T10" s="14" t="s">
        <v>20</v>
      </c>
      <c r="U10" s="20">
        <v>5.7</v>
      </c>
      <c r="V10" s="21" t="s">
        <v>21</v>
      </c>
      <c r="W10" s="21" t="s">
        <v>21</v>
      </c>
      <c r="X10" s="20">
        <v>32.1</v>
      </c>
      <c r="Y10" s="21" t="s">
        <v>21</v>
      </c>
      <c r="Z10" s="21" t="s">
        <v>21</v>
      </c>
      <c r="AA10" s="20">
        <v>11.700000000000001</v>
      </c>
    </row>
    <row r="11" spans="1:28" s="22" customFormat="1" ht="20.25" customHeight="1" x14ac:dyDescent="0.2">
      <c r="A11" s="14" t="s">
        <v>22</v>
      </c>
      <c r="B11" s="18">
        <v>3617.0000000000005</v>
      </c>
      <c r="C11" s="19">
        <v>0</v>
      </c>
      <c r="D11" s="19">
        <v>0</v>
      </c>
      <c r="E11" s="18">
        <v>122.1</v>
      </c>
      <c r="F11" s="19">
        <v>0</v>
      </c>
      <c r="G11" s="19">
        <v>0</v>
      </c>
      <c r="H11" s="18">
        <v>3739.1000000000004</v>
      </c>
      <c r="I11" s="18"/>
      <c r="K11" s="14" t="s">
        <v>22</v>
      </c>
      <c r="L11" s="20">
        <v>96.7</v>
      </c>
      <c r="M11" s="21" t="s">
        <v>21</v>
      </c>
      <c r="N11" s="21" t="s">
        <v>21</v>
      </c>
      <c r="O11" s="20">
        <v>3.3</v>
      </c>
      <c r="P11" s="21" t="s">
        <v>21</v>
      </c>
      <c r="Q11" s="21" t="s">
        <v>21</v>
      </c>
      <c r="R11" s="20">
        <v>100</v>
      </c>
      <c r="T11" s="14" t="s">
        <v>22</v>
      </c>
      <c r="U11" s="20">
        <v>1.1000000000000001</v>
      </c>
      <c r="V11" s="21" t="s">
        <v>21</v>
      </c>
      <c r="W11" s="21" t="s">
        <v>21</v>
      </c>
      <c r="X11" s="20">
        <v>0.1</v>
      </c>
      <c r="Y11" s="21" t="s">
        <v>21</v>
      </c>
      <c r="Z11" s="21" t="s">
        <v>21</v>
      </c>
      <c r="AA11" s="20">
        <v>0.7</v>
      </c>
    </row>
    <row r="12" spans="1:28" s="22" customFormat="1" ht="20.25" customHeight="1" x14ac:dyDescent="0.2">
      <c r="A12" s="14" t="s">
        <v>23</v>
      </c>
      <c r="B12" s="18">
        <v>91920.200000000041</v>
      </c>
      <c r="C12" s="19">
        <v>0</v>
      </c>
      <c r="D12" s="19">
        <v>0</v>
      </c>
      <c r="E12" s="18">
        <v>8911.4</v>
      </c>
      <c r="F12" s="19">
        <v>0</v>
      </c>
      <c r="G12" s="19">
        <v>0</v>
      </c>
      <c r="H12" s="18">
        <v>100831.60000000003</v>
      </c>
      <c r="I12" s="18"/>
      <c r="K12" s="14" t="s">
        <v>23</v>
      </c>
      <c r="L12" s="20">
        <v>91.2</v>
      </c>
      <c r="M12" s="21" t="s">
        <v>21</v>
      </c>
      <c r="N12" s="21" t="s">
        <v>21</v>
      </c>
      <c r="O12" s="20">
        <v>8.8000000000000007</v>
      </c>
      <c r="P12" s="21" t="s">
        <v>21</v>
      </c>
      <c r="Q12" s="21" t="s">
        <v>21</v>
      </c>
      <c r="R12" s="20">
        <v>100</v>
      </c>
      <c r="T12" s="14" t="s">
        <v>23</v>
      </c>
      <c r="U12" s="20">
        <v>28</v>
      </c>
      <c r="V12" s="21" t="s">
        <v>21</v>
      </c>
      <c r="W12" s="21" t="s">
        <v>21</v>
      </c>
      <c r="X12" s="20">
        <v>6.2</v>
      </c>
      <c r="Y12" s="21" t="s">
        <v>21</v>
      </c>
      <c r="Z12" s="21" t="s">
        <v>21</v>
      </c>
      <c r="AA12" s="20">
        <v>18.2</v>
      </c>
    </row>
    <row r="13" spans="1:28" s="22" customFormat="1" ht="20.25" customHeight="1" x14ac:dyDescent="0.2">
      <c r="A13" s="14" t="s">
        <v>24</v>
      </c>
      <c r="B13" s="18">
        <v>21128.1</v>
      </c>
      <c r="C13" s="19">
        <v>0</v>
      </c>
      <c r="D13" s="19">
        <v>0</v>
      </c>
      <c r="E13" s="19">
        <v>0</v>
      </c>
      <c r="F13" s="39">
        <v>0</v>
      </c>
      <c r="G13" s="39">
        <v>0</v>
      </c>
      <c r="H13" s="18">
        <v>21128.1</v>
      </c>
      <c r="I13" s="18"/>
      <c r="K13" s="14" t="s">
        <v>24</v>
      </c>
      <c r="L13" s="20">
        <v>100</v>
      </c>
      <c r="M13" s="21" t="s">
        <v>21</v>
      </c>
      <c r="N13" s="21" t="s">
        <v>21</v>
      </c>
      <c r="O13" s="21" t="s">
        <v>21</v>
      </c>
      <c r="P13" s="21" t="s">
        <v>21</v>
      </c>
      <c r="Q13" s="21" t="s">
        <v>21</v>
      </c>
      <c r="R13" s="20">
        <v>100</v>
      </c>
      <c r="T13" s="14" t="s">
        <v>24</v>
      </c>
      <c r="U13" s="20">
        <v>6.5</v>
      </c>
      <c r="V13" s="21" t="s">
        <v>21</v>
      </c>
      <c r="W13" s="21" t="s">
        <v>21</v>
      </c>
      <c r="X13" s="21" t="s">
        <v>21</v>
      </c>
      <c r="Y13" s="21" t="s">
        <v>21</v>
      </c>
      <c r="Z13" s="21" t="s">
        <v>21</v>
      </c>
      <c r="AA13" s="20">
        <v>3.8</v>
      </c>
    </row>
    <row r="14" spans="1:28" s="22" customFormat="1" ht="20.25" customHeight="1" x14ac:dyDescent="0.2">
      <c r="A14" s="14" t="s">
        <v>25</v>
      </c>
      <c r="B14" s="18">
        <v>28395.1</v>
      </c>
      <c r="C14" s="19">
        <v>0</v>
      </c>
      <c r="D14" s="19">
        <v>0</v>
      </c>
      <c r="E14" s="18">
        <v>8878</v>
      </c>
      <c r="F14" s="39">
        <v>0</v>
      </c>
      <c r="G14" s="39">
        <v>0</v>
      </c>
      <c r="H14" s="18">
        <v>37273.1</v>
      </c>
      <c r="I14" s="18"/>
      <c r="K14" s="14" t="s">
        <v>25</v>
      </c>
      <c r="L14" s="20">
        <v>76.2</v>
      </c>
      <c r="M14" s="21" t="s">
        <v>21</v>
      </c>
      <c r="N14" s="21" t="s">
        <v>21</v>
      </c>
      <c r="O14" s="20">
        <v>23.8</v>
      </c>
      <c r="P14" s="21" t="s">
        <v>21</v>
      </c>
      <c r="Q14" s="21" t="s">
        <v>21</v>
      </c>
      <c r="R14" s="20">
        <v>100</v>
      </c>
      <c r="T14" s="14" t="s">
        <v>25</v>
      </c>
      <c r="U14" s="20">
        <v>8.6999999999999993</v>
      </c>
      <c r="V14" s="21" t="s">
        <v>21</v>
      </c>
      <c r="W14" s="21" t="s">
        <v>21</v>
      </c>
      <c r="X14" s="20">
        <v>6.2</v>
      </c>
      <c r="Y14" s="21" t="s">
        <v>21</v>
      </c>
      <c r="Z14" s="21" t="s">
        <v>21</v>
      </c>
      <c r="AA14" s="20">
        <v>6.8</v>
      </c>
    </row>
    <row r="15" spans="1:28" s="22" customFormat="1" ht="35.25" customHeight="1" x14ac:dyDescent="0.2">
      <c r="A15" s="14" t="s">
        <v>26</v>
      </c>
      <c r="B15" s="18">
        <v>59394.399999999994</v>
      </c>
      <c r="C15" s="19">
        <v>0</v>
      </c>
      <c r="D15" s="19">
        <v>0</v>
      </c>
      <c r="E15" s="18">
        <v>26357.5</v>
      </c>
      <c r="F15" s="39">
        <v>0</v>
      </c>
      <c r="G15" s="39">
        <v>0</v>
      </c>
      <c r="H15" s="18">
        <v>85751.9</v>
      </c>
      <c r="I15" s="18"/>
      <c r="K15" s="14" t="s">
        <v>26</v>
      </c>
      <c r="L15" s="20">
        <v>69.3</v>
      </c>
      <c r="M15" s="21" t="s">
        <v>21</v>
      </c>
      <c r="N15" s="21" t="s">
        <v>21</v>
      </c>
      <c r="O15" s="20">
        <v>30.7</v>
      </c>
      <c r="P15" s="21" t="s">
        <v>21</v>
      </c>
      <c r="Q15" s="21" t="s">
        <v>21</v>
      </c>
      <c r="R15" s="20">
        <v>100</v>
      </c>
      <c r="T15" s="14" t="s">
        <v>26</v>
      </c>
      <c r="U15" s="20">
        <v>18.2</v>
      </c>
      <c r="V15" s="21" t="s">
        <v>21</v>
      </c>
      <c r="W15" s="21" t="s">
        <v>21</v>
      </c>
      <c r="X15" s="20">
        <v>18.3</v>
      </c>
      <c r="Y15" s="21" t="s">
        <v>21</v>
      </c>
      <c r="Z15" s="21" t="s">
        <v>21</v>
      </c>
      <c r="AA15" s="20">
        <v>15.6</v>
      </c>
    </row>
    <row r="16" spans="1:28" s="22" customFormat="1" ht="20.25" customHeight="1" x14ac:dyDescent="0.2">
      <c r="A16" s="14" t="s">
        <v>27</v>
      </c>
      <c r="B16" s="18">
        <v>16889.600000000002</v>
      </c>
      <c r="C16" s="19">
        <v>0</v>
      </c>
      <c r="D16" s="19">
        <v>0</v>
      </c>
      <c r="E16" s="18">
        <v>2881.8</v>
      </c>
      <c r="F16" s="39">
        <v>0</v>
      </c>
      <c r="G16" s="39">
        <v>0</v>
      </c>
      <c r="H16" s="18">
        <v>19771.400000000001</v>
      </c>
      <c r="I16" s="18"/>
      <c r="K16" s="14" t="s">
        <v>27</v>
      </c>
      <c r="L16" s="20">
        <v>85.4</v>
      </c>
      <c r="M16" s="21" t="s">
        <v>21</v>
      </c>
      <c r="N16" s="21" t="s">
        <v>21</v>
      </c>
      <c r="O16" s="20">
        <v>14.6</v>
      </c>
      <c r="P16" s="21" t="s">
        <v>21</v>
      </c>
      <c r="Q16" s="21" t="s">
        <v>21</v>
      </c>
      <c r="R16" s="20">
        <v>100</v>
      </c>
      <c r="T16" s="14" t="s">
        <v>27</v>
      </c>
      <c r="U16" s="20">
        <v>5.2</v>
      </c>
      <c r="V16" s="21" t="s">
        <v>21</v>
      </c>
      <c r="W16" s="21" t="s">
        <v>21</v>
      </c>
      <c r="X16" s="20">
        <v>2</v>
      </c>
      <c r="Y16" s="21" t="s">
        <v>21</v>
      </c>
      <c r="Z16" s="21" t="s">
        <v>21</v>
      </c>
      <c r="AA16" s="20">
        <v>3.6</v>
      </c>
    </row>
    <row r="17" spans="1:28" s="22" customFormat="1" ht="20.25" customHeight="1" x14ac:dyDescent="0.2">
      <c r="A17" s="14" t="s">
        <v>28</v>
      </c>
      <c r="B17" s="18">
        <v>13143</v>
      </c>
      <c r="C17" s="19">
        <v>0</v>
      </c>
      <c r="D17" s="19">
        <v>0</v>
      </c>
      <c r="E17" s="18">
        <v>9484.7000000000007</v>
      </c>
      <c r="F17" s="39">
        <v>0</v>
      </c>
      <c r="G17" s="39">
        <v>0</v>
      </c>
      <c r="H17" s="18">
        <v>22627.7</v>
      </c>
      <c r="I17" s="18"/>
      <c r="K17" s="14" t="s">
        <v>28</v>
      </c>
      <c r="L17" s="20">
        <v>58.1</v>
      </c>
      <c r="M17" s="21" t="s">
        <v>21</v>
      </c>
      <c r="N17" s="21" t="s">
        <v>21</v>
      </c>
      <c r="O17" s="20">
        <v>41.9</v>
      </c>
      <c r="P17" s="21" t="s">
        <v>21</v>
      </c>
      <c r="Q17" s="21" t="s">
        <v>21</v>
      </c>
      <c r="R17" s="20">
        <v>100</v>
      </c>
      <c r="T17" s="14" t="s">
        <v>28</v>
      </c>
      <c r="U17" s="20">
        <v>4</v>
      </c>
      <c r="V17" s="21" t="s">
        <v>21</v>
      </c>
      <c r="W17" s="21" t="s">
        <v>21</v>
      </c>
      <c r="X17" s="20">
        <v>6.6</v>
      </c>
      <c r="Y17" s="21" t="s">
        <v>21</v>
      </c>
      <c r="Z17" s="21" t="s">
        <v>21</v>
      </c>
      <c r="AA17" s="20">
        <v>4.0999999999999996</v>
      </c>
    </row>
    <row r="18" spans="1:28" s="22" customFormat="1" ht="20.25" customHeight="1" x14ac:dyDescent="0.2">
      <c r="A18" s="14" t="s">
        <v>29</v>
      </c>
      <c r="B18" s="18">
        <v>19748.3</v>
      </c>
      <c r="C18" s="19">
        <v>0</v>
      </c>
      <c r="D18" s="19">
        <v>0</v>
      </c>
      <c r="E18" s="19">
        <v>0</v>
      </c>
      <c r="F18" s="39">
        <v>0</v>
      </c>
      <c r="G18" s="39">
        <v>0</v>
      </c>
      <c r="H18" s="18">
        <v>19748.3</v>
      </c>
      <c r="I18" s="18"/>
      <c r="K18" s="14" t="s">
        <v>29</v>
      </c>
      <c r="L18" s="20">
        <v>100</v>
      </c>
      <c r="M18" s="21" t="s">
        <v>21</v>
      </c>
      <c r="N18" s="21" t="s">
        <v>21</v>
      </c>
      <c r="O18" s="21" t="s">
        <v>21</v>
      </c>
      <c r="P18" s="21" t="s">
        <v>21</v>
      </c>
      <c r="Q18" s="21" t="s">
        <v>21</v>
      </c>
      <c r="R18" s="20">
        <v>100</v>
      </c>
      <c r="T18" s="14" t="s">
        <v>29</v>
      </c>
      <c r="U18" s="20">
        <v>6</v>
      </c>
      <c r="V18" s="21" t="s">
        <v>21</v>
      </c>
      <c r="W18" s="21" t="s">
        <v>21</v>
      </c>
      <c r="X18" s="21" t="s">
        <v>21</v>
      </c>
      <c r="Y18" s="21" t="s">
        <v>21</v>
      </c>
      <c r="Z18" s="21" t="s">
        <v>21</v>
      </c>
      <c r="AA18" s="20">
        <v>3.7</v>
      </c>
    </row>
    <row r="19" spans="1:28" s="22" customFormat="1" ht="20.25" customHeight="1" x14ac:dyDescent="0.2">
      <c r="A19" s="14" t="s">
        <v>30</v>
      </c>
      <c r="B19" s="19">
        <v>0</v>
      </c>
      <c r="C19" s="18">
        <v>36732</v>
      </c>
      <c r="D19" s="19">
        <v>0</v>
      </c>
      <c r="E19" s="18">
        <v>656.90000000000009</v>
      </c>
      <c r="F19" s="39">
        <v>0</v>
      </c>
      <c r="G19" s="39">
        <v>0</v>
      </c>
      <c r="H19" s="18">
        <v>37388.9</v>
      </c>
      <c r="I19" s="18"/>
      <c r="K19" s="14" t="s">
        <v>30</v>
      </c>
      <c r="L19" s="21" t="s">
        <v>21</v>
      </c>
      <c r="M19" s="20">
        <v>98.2</v>
      </c>
      <c r="N19" s="21" t="s">
        <v>21</v>
      </c>
      <c r="O19" s="20">
        <v>1.8</v>
      </c>
      <c r="P19" s="20" t="s">
        <v>21</v>
      </c>
      <c r="Q19" s="21" t="s">
        <v>21</v>
      </c>
      <c r="R19" s="20">
        <v>100</v>
      </c>
      <c r="T19" s="14" t="s">
        <v>30</v>
      </c>
      <c r="U19" s="21" t="s">
        <v>21</v>
      </c>
      <c r="V19" s="20">
        <v>100</v>
      </c>
      <c r="W19" s="21" t="s">
        <v>21</v>
      </c>
      <c r="X19" s="20">
        <v>0.5</v>
      </c>
      <c r="Y19" s="20" t="s">
        <v>21</v>
      </c>
      <c r="Z19" s="21" t="s">
        <v>21</v>
      </c>
      <c r="AA19" s="20">
        <v>6.8</v>
      </c>
    </row>
    <row r="20" spans="1:28" s="22" customFormat="1" ht="20.25" customHeight="1" x14ac:dyDescent="0.2">
      <c r="A20" s="14" t="s">
        <v>31</v>
      </c>
      <c r="B20" s="18">
        <v>23501.5</v>
      </c>
      <c r="C20" s="19">
        <v>0</v>
      </c>
      <c r="D20" s="19">
        <v>0</v>
      </c>
      <c r="E20" s="18">
        <v>5380.9000000000005</v>
      </c>
      <c r="F20" s="19">
        <v>0</v>
      </c>
      <c r="G20" s="19">
        <v>0</v>
      </c>
      <c r="H20" s="18">
        <v>28882.400000000001</v>
      </c>
      <c r="I20" s="18"/>
      <c r="K20" s="14" t="s">
        <v>31</v>
      </c>
      <c r="L20" s="20">
        <v>81.400000000000006</v>
      </c>
      <c r="M20" s="21" t="s">
        <v>21</v>
      </c>
      <c r="N20" s="21" t="s">
        <v>21</v>
      </c>
      <c r="O20" s="20">
        <v>18.600000000000001</v>
      </c>
      <c r="P20" s="21" t="s">
        <v>21</v>
      </c>
      <c r="Q20" s="21" t="s">
        <v>21</v>
      </c>
      <c r="R20" s="20">
        <v>100</v>
      </c>
      <c r="T20" s="14" t="s">
        <v>31</v>
      </c>
      <c r="U20" s="20">
        <v>7.2</v>
      </c>
      <c r="V20" s="21" t="s">
        <v>21</v>
      </c>
      <c r="W20" s="21" t="s">
        <v>21</v>
      </c>
      <c r="X20" s="20">
        <v>3.7</v>
      </c>
      <c r="Y20" s="21" t="s">
        <v>21</v>
      </c>
      <c r="Z20" s="21" t="s">
        <v>21</v>
      </c>
      <c r="AA20" s="20">
        <v>5.2</v>
      </c>
    </row>
    <row r="21" spans="1:28" s="22" customFormat="1" ht="20.25" customHeight="1" x14ac:dyDescent="0.2">
      <c r="A21" s="14" t="s">
        <v>32</v>
      </c>
      <c r="B21" s="19">
        <v>0</v>
      </c>
      <c r="C21" s="19">
        <v>0</v>
      </c>
      <c r="D21" s="19">
        <v>0</v>
      </c>
      <c r="E21" s="18">
        <v>29110.699999999997</v>
      </c>
      <c r="F21" s="19">
        <v>0</v>
      </c>
      <c r="G21" s="19">
        <v>0</v>
      </c>
      <c r="H21" s="18">
        <v>29110.699999999997</v>
      </c>
      <c r="I21" s="18"/>
      <c r="K21" s="14" t="s">
        <v>32</v>
      </c>
      <c r="L21" s="21" t="s">
        <v>21</v>
      </c>
      <c r="M21" s="21" t="s">
        <v>21</v>
      </c>
      <c r="N21" s="21" t="s">
        <v>21</v>
      </c>
      <c r="O21" s="20">
        <v>100</v>
      </c>
      <c r="P21" s="21" t="s">
        <v>21</v>
      </c>
      <c r="Q21" s="21" t="s">
        <v>21</v>
      </c>
      <c r="R21" s="20">
        <v>100</v>
      </c>
      <c r="T21" s="14" t="s">
        <v>32</v>
      </c>
      <c r="U21" s="21" t="s">
        <v>21</v>
      </c>
      <c r="V21" s="21" t="s">
        <v>21</v>
      </c>
      <c r="W21" s="21" t="s">
        <v>21</v>
      </c>
      <c r="X21" s="20">
        <v>20.2</v>
      </c>
      <c r="Y21" s="21" t="s">
        <v>21</v>
      </c>
      <c r="Z21" s="21" t="s">
        <v>21</v>
      </c>
      <c r="AA21" s="20">
        <v>5.3</v>
      </c>
    </row>
    <row r="22" spans="1:28" s="22" customFormat="1" ht="35.25" customHeight="1" x14ac:dyDescent="0.2">
      <c r="A22" s="14" t="s">
        <v>33</v>
      </c>
      <c r="B22" s="19">
        <v>0</v>
      </c>
      <c r="C22" s="19">
        <v>0</v>
      </c>
      <c r="D22" s="18">
        <v>33625.9</v>
      </c>
      <c r="E22" s="19">
        <v>0</v>
      </c>
      <c r="F22" s="19">
        <v>0</v>
      </c>
      <c r="G22" s="19">
        <v>0</v>
      </c>
      <c r="H22" s="18">
        <v>33625.9</v>
      </c>
      <c r="I22" s="18"/>
      <c r="K22" s="14" t="s">
        <v>33</v>
      </c>
      <c r="L22" s="21" t="s">
        <v>21</v>
      </c>
      <c r="M22" s="21" t="s">
        <v>21</v>
      </c>
      <c r="N22" s="20">
        <v>100</v>
      </c>
      <c r="O22" s="21" t="s">
        <v>21</v>
      </c>
      <c r="P22" s="21" t="s">
        <v>21</v>
      </c>
      <c r="Q22" s="21" t="s">
        <v>21</v>
      </c>
      <c r="R22" s="20">
        <v>100</v>
      </c>
      <c r="T22" s="14" t="s">
        <v>33</v>
      </c>
      <c r="U22" s="21" t="s">
        <v>21</v>
      </c>
      <c r="V22" s="21" t="s">
        <v>21</v>
      </c>
      <c r="W22" s="20">
        <v>47.5</v>
      </c>
      <c r="X22" s="21" t="s">
        <v>21</v>
      </c>
      <c r="Y22" s="21" t="s">
        <v>21</v>
      </c>
      <c r="Z22" s="21" t="s">
        <v>21</v>
      </c>
      <c r="AA22" s="20">
        <v>6.1</v>
      </c>
    </row>
    <row r="23" spans="1:28" s="22" customFormat="1" ht="20.25" customHeight="1" x14ac:dyDescent="0.2">
      <c r="A23" s="14" t="s">
        <v>34</v>
      </c>
      <c r="B23" s="18">
        <v>15144.699999999999</v>
      </c>
      <c r="C23" s="19">
        <v>0</v>
      </c>
      <c r="D23" s="18">
        <v>26752.7</v>
      </c>
      <c r="E23" s="18">
        <v>7.7</v>
      </c>
      <c r="F23" s="19">
        <v>0</v>
      </c>
      <c r="G23" s="19">
        <v>0</v>
      </c>
      <c r="H23" s="18">
        <v>41905.1</v>
      </c>
      <c r="I23" s="18"/>
      <c r="K23" s="14" t="s">
        <v>34</v>
      </c>
      <c r="L23" s="20">
        <v>36.200000000000003</v>
      </c>
      <c r="M23" s="21" t="s">
        <v>21</v>
      </c>
      <c r="N23" s="20">
        <v>63.8</v>
      </c>
      <c r="O23" s="20">
        <v>0</v>
      </c>
      <c r="P23" s="21" t="s">
        <v>21</v>
      </c>
      <c r="Q23" s="21" t="s">
        <v>21</v>
      </c>
      <c r="R23" s="20">
        <v>100</v>
      </c>
      <c r="T23" s="14" t="s">
        <v>35</v>
      </c>
      <c r="U23" s="20">
        <v>4.5999999999999996</v>
      </c>
      <c r="V23" s="21" t="s">
        <v>21</v>
      </c>
      <c r="W23" s="20">
        <v>37.700000000000003</v>
      </c>
      <c r="X23" s="20">
        <v>0</v>
      </c>
      <c r="Y23" s="21" t="s">
        <v>21</v>
      </c>
      <c r="Z23" s="21" t="s">
        <v>21</v>
      </c>
      <c r="AA23" s="20">
        <v>7.6</v>
      </c>
    </row>
    <row r="24" spans="1:28" s="22" customFormat="1" ht="20.25" customHeight="1" x14ac:dyDescent="0.2">
      <c r="A24" s="14" t="s">
        <v>36</v>
      </c>
      <c r="B24" s="18">
        <v>8124.4999999999991</v>
      </c>
      <c r="C24" s="19">
        <v>0</v>
      </c>
      <c r="D24" s="18">
        <v>10502.199999999999</v>
      </c>
      <c r="E24" s="18">
        <v>198.00000000000003</v>
      </c>
      <c r="F24" s="18">
        <v>442.9</v>
      </c>
      <c r="G24" s="19">
        <v>0</v>
      </c>
      <c r="H24" s="18">
        <v>19267.599999999999</v>
      </c>
      <c r="I24" s="18"/>
      <c r="K24" s="14" t="s">
        <v>36</v>
      </c>
      <c r="L24" s="20">
        <v>42.2</v>
      </c>
      <c r="M24" s="21" t="s">
        <v>21</v>
      </c>
      <c r="N24" s="20">
        <v>54.5</v>
      </c>
      <c r="O24" s="20">
        <v>1</v>
      </c>
      <c r="P24" s="20">
        <v>2.2999999999999998</v>
      </c>
      <c r="Q24" s="21" t="s">
        <v>21</v>
      </c>
      <c r="R24" s="20">
        <v>100</v>
      </c>
      <c r="T24" s="14" t="s">
        <v>36</v>
      </c>
      <c r="U24" s="20">
        <v>2.5</v>
      </c>
      <c r="V24" s="21" t="s">
        <v>21</v>
      </c>
      <c r="W24" s="20">
        <v>14.8</v>
      </c>
      <c r="X24" s="20">
        <v>0.1</v>
      </c>
      <c r="Y24" s="20">
        <v>13.7</v>
      </c>
      <c r="Z24" s="35" t="s">
        <v>21</v>
      </c>
      <c r="AA24" s="20">
        <v>3.5</v>
      </c>
    </row>
    <row r="25" spans="1:28" s="22" customFormat="1" ht="20.25" customHeight="1" x14ac:dyDescent="0.2">
      <c r="A25" s="14" t="s">
        <v>37</v>
      </c>
      <c r="B25" s="18">
        <v>7453.5000000000009</v>
      </c>
      <c r="C25" s="19">
        <v>0</v>
      </c>
      <c r="D25" s="19">
        <v>0</v>
      </c>
      <c r="E25" s="18">
        <v>5807.7</v>
      </c>
      <c r="F25" s="18">
        <v>2797.5999999999995</v>
      </c>
      <c r="G25" s="19">
        <v>0</v>
      </c>
      <c r="H25" s="18">
        <v>16058.8</v>
      </c>
      <c r="I25" s="18"/>
      <c r="K25" s="14" t="s">
        <v>37</v>
      </c>
      <c r="L25" s="20">
        <v>46.4</v>
      </c>
      <c r="M25" s="21" t="s">
        <v>21</v>
      </c>
      <c r="N25" s="21" t="s">
        <v>21</v>
      </c>
      <c r="O25" s="20">
        <v>36.200000000000003</v>
      </c>
      <c r="P25" s="20">
        <v>17.399999999999999</v>
      </c>
      <c r="Q25" s="21" t="s">
        <v>21</v>
      </c>
      <c r="R25" s="20">
        <v>100</v>
      </c>
      <c r="T25" s="14" t="s">
        <v>37</v>
      </c>
      <c r="U25" s="20">
        <v>2.2999999999999998</v>
      </c>
      <c r="V25" s="21" t="s">
        <v>21</v>
      </c>
      <c r="W25" s="21" t="s">
        <v>21</v>
      </c>
      <c r="X25" s="20">
        <v>4</v>
      </c>
      <c r="Y25" s="20">
        <v>86.3</v>
      </c>
      <c r="Z25" s="35" t="s">
        <v>21</v>
      </c>
      <c r="AA25" s="20">
        <v>2.9</v>
      </c>
    </row>
    <row r="26" spans="1:28" s="22" customFormat="1" ht="20.25" customHeight="1" x14ac:dyDescent="0.2">
      <c r="A26" s="22" t="s">
        <v>47</v>
      </c>
      <c r="B26" s="39">
        <v>0</v>
      </c>
      <c r="C26" s="39">
        <v>0</v>
      </c>
      <c r="D26" s="39">
        <v>0</v>
      </c>
      <c r="E26" s="39">
        <v>0</v>
      </c>
      <c r="F26" s="39">
        <v>0</v>
      </c>
      <c r="G26" s="18">
        <v>-30987.1</v>
      </c>
      <c r="H26" s="38">
        <v>-30987.1</v>
      </c>
      <c r="I26" s="38"/>
      <c r="K26" s="22" t="s">
        <v>47</v>
      </c>
      <c r="L26" s="35" t="s">
        <v>21</v>
      </c>
      <c r="M26" s="35" t="s">
        <v>21</v>
      </c>
      <c r="N26" s="35" t="s">
        <v>21</v>
      </c>
      <c r="O26" s="35" t="s">
        <v>21</v>
      </c>
      <c r="P26" s="35" t="s">
        <v>21</v>
      </c>
      <c r="Q26" s="20">
        <v>100</v>
      </c>
      <c r="R26" s="48">
        <v>100</v>
      </c>
      <c r="T26" s="22" t="s">
        <v>47</v>
      </c>
      <c r="U26" s="35" t="s">
        <v>21</v>
      </c>
      <c r="V26" s="35" t="s">
        <v>21</v>
      </c>
      <c r="W26" s="35" t="s">
        <v>21</v>
      </c>
      <c r="X26" s="35" t="s">
        <v>21</v>
      </c>
      <c r="Y26" s="35" t="s">
        <v>21</v>
      </c>
      <c r="Z26" s="20">
        <v>100</v>
      </c>
      <c r="AA26" s="48">
        <v>-5.6</v>
      </c>
    </row>
    <row r="27" spans="1:28" s="22" customFormat="1" ht="24.75" customHeight="1" thickBot="1" x14ac:dyDescent="0.25">
      <c r="A27" s="23" t="s">
        <v>38</v>
      </c>
      <c r="B27" s="49">
        <v>326967.90000000008</v>
      </c>
      <c r="C27" s="49">
        <v>36732</v>
      </c>
      <c r="D27" s="49">
        <v>70880.800000000003</v>
      </c>
      <c r="E27" s="49">
        <v>144163</v>
      </c>
      <c r="F27" s="49">
        <v>3240.4999999999995</v>
      </c>
      <c r="G27" s="49">
        <v>-30987.1</v>
      </c>
      <c r="H27" s="49">
        <v>550997.10000000009</v>
      </c>
      <c r="I27" s="96"/>
      <c r="K27" s="23" t="s">
        <v>38</v>
      </c>
      <c r="L27" s="50">
        <v>59.199999999999996</v>
      </c>
      <c r="M27" s="50">
        <v>6.7</v>
      </c>
      <c r="N27" s="50">
        <v>12.9</v>
      </c>
      <c r="O27" s="50">
        <v>26.2</v>
      </c>
      <c r="P27" s="50">
        <v>0.6</v>
      </c>
      <c r="Q27" s="50">
        <v>-5.6238227025151302</v>
      </c>
      <c r="R27" s="50">
        <v>99.976177297484867</v>
      </c>
      <c r="T27" s="23" t="s">
        <v>38</v>
      </c>
      <c r="U27" s="50">
        <v>100</v>
      </c>
      <c r="V27" s="50">
        <v>100</v>
      </c>
      <c r="W27" s="50">
        <v>100</v>
      </c>
      <c r="X27" s="50">
        <v>100</v>
      </c>
      <c r="Y27" s="50">
        <v>100</v>
      </c>
      <c r="Z27" s="50">
        <v>100</v>
      </c>
      <c r="AA27" s="50">
        <v>100</v>
      </c>
    </row>
    <row r="28" spans="1:28" s="46" customFormat="1" ht="24.75" thickBot="1" x14ac:dyDescent="0.25">
      <c r="A28" s="28" t="s">
        <v>39</v>
      </c>
      <c r="B28" s="28"/>
      <c r="C28" s="28"/>
      <c r="D28" s="28"/>
      <c r="E28" s="28"/>
      <c r="F28" s="28"/>
      <c r="G28" s="28"/>
      <c r="H28" s="101">
        <v>58900.800000000003</v>
      </c>
      <c r="I28" s="23" t="s">
        <v>56</v>
      </c>
      <c r="K28" s="83" t="s">
        <v>39</v>
      </c>
      <c r="L28" s="83"/>
      <c r="M28" s="83"/>
      <c r="N28" s="83"/>
      <c r="O28" s="83"/>
      <c r="P28" s="83"/>
      <c r="Q28" s="83"/>
      <c r="R28" s="83"/>
      <c r="T28" s="83" t="s">
        <v>39</v>
      </c>
      <c r="U28" s="83"/>
      <c r="V28" s="83"/>
      <c r="W28" s="83"/>
      <c r="X28" s="83"/>
      <c r="Y28" s="83"/>
      <c r="Z28" s="83"/>
      <c r="AA28" s="83"/>
      <c r="AB28" s="37"/>
    </row>
    <row r="29" spans="1:28" s="46" customFormat="1" ht="15" customHeight="1" thickBot="1" x14ac:dyDescent="0.25">
      <c r="A29" s="100" t="s">
        <v>40</v>
      </c>
      <c r="B29" s="100"/>
      <c r="C29" s="100"/>
      <c r="D29" s="100"/>
      <c r="E29" s="100"/>
      <c r="F29" s="100"/>
      <c r="G29" s="100"/>
      <c r="H29" s="102">
        <v>-70.900000000000006</v>
      </c>
      <c r="I29" s="23" t="s">
        <v>57</v>
      </c>
      <c r="K29" s="91" t="s">
        <v>40</v>
      </c>
      <c r="L29" s="91"/>
      <c r="M29" s="91"/>
      <c r="N29" s="91"/>
      <c r="O29" s="91"/>
      <c r="P29" s="91"/>
      <c r="Q29" s="91"/>
      <c r="R29" s="91"/>
      <c r="T29" s="91" t="s">
        <v>40</v>
      </c>
      <c r="U29" s="91"/>
      <c r="V29" s="91"/>
      <c r="W29" s="91"/>
      <c r="X29" s="91"/>
      <c r="Y29" s="91"/>
      <c r="Z29" s="91"/>
      <c r="AA29" s="91"/>
      <c r="AB29" s="47"/>
    </row>
    <row r="30" spans="1:28" s="46" customFormat="1" ht="15.75" thickBot="1" x14ac:dyDescent="0.25">
      <c r="A30" s="100" t="s">
        <v>41</v>
      </c>
      <c r="B30" s="100"/>
      <c r="C30" s="100"/>
      <c r="D30" s="100"/>
      <c r="E30" s="100"/>
      <c r="F30" s="100"/>
      <c r="G30" s="100"/>
      <c r="H30" s="102">
        <v>9.9999999991268851E-2</v>
      </c>
      <c r="I30" s="23" t="s">
        <v>58</v>
      </c>
      <c r="K30" s="91" t="s">
        <v>41</v>
      </c>
      <c r="L30" s="91"/>
      <c r="M30" s="91"/>
      <c r="N30" s="91"/>
      <c r="O30" s="91"/>
      <c r="P30" s="91"/>
      <c r="Q30" s="91"/>
      <c r="R30" s="91"/>
      <c r="T30" s="91" t="s">
        <v>41</v>
      </c>
      <c r="U30" s="91"/>
      <c r="V30" s="91"/>
      <c r="W30" s="91"/>
      <c r="X30" s="91"/>
      <c r="Y30" s="91"/>
      <c r="Z30" s="91"/>
      <c r="AA30" s="91"/>
    </row>
    <row r="31" spans="1:28" s="46" customFormat="1" ht="38.25" thickBot="1" x14ac:dyDescent="0.25">
      <c r="A31" s="99" t="s">
        <v>48</v>
      </c>
      <c r="B31" s="99"/>
      <c r="C31" s="99"/>
      <c r="D31" s="99"/>
      <c r="E31" s="99"/>
      <c r="F31" s="99"/>
      <c r="G31" s="99"/>
      <c r="H31" s="103">
        <v>-0.2000000000007276</v>
      </c>
      <c r="I31" s="23" t="s">
        <v>59</v>
      </c>
      <c r="K31" s="82" t="s">
        <v>48</v>
      </c>
      <c r="L31" s="82"/>
      <c r="M31" s="82"/>
      <c r="N31" s="82"/>
      <c r="O31" s="82"/>
      <c r="P31" s="82"/>
      <c r="Q31" s="82"/>
      <c r="R31" s="82"/>
      <c r="T31" s="82" t="s">
        <v>48</v>
      </c>
      <c r="U31" s="82"/>
      <c r="V31" s="82"/>
      <c r="W31" s="82"/>
      <c r="X31" s="82"/>
      <c r="Y31" s="82"/>
      <c r="Z31" s="82"/>
      <c r="AA31" s="82"/>
    </row>
    <row r="32" spans="1:28" s="46" customFormat="1" ht="23.25" thickBot="1" x14ac:dyDescent="0.25">
      <c r="A32" s="98" t="s">
        <v>42</v>
      </c>
      <c r="B32" s="98"/>
      <c r="C32" s="98"/>
      <c r="D32" s="98"/>
      <c r="E32" s="98"/>
      <c r="F32" s="98"/>
      <c r="G32" s="98"/>
      <c r="H32" s="104"/>
      <c r="I32" s="23"/>
      <c r="K32" s="94" t="s">
        <v>42</v>
      </c>
      <c r="L32" s="94"/>
      <c r="M32" s="94"/>
      <c r="N32" s="94"/>
      <c r="O32" s="94"/>
      <c r="P32" s="94"/>
      <c r="Q32" s="94"/>
      <c r="R32" s="94"/>
      <c r="T32" s="94" t="s">
        <v>42</v>
      </c>
      <c r="U32" s="94"/>
      <c r="V32" s="94"/>
      <c r="W32" s="94"/>
      <c r="X32" s="94"/>
      <c r="Y32" s="94"/>
      <c r="Z32" s="94"/>
      <c r="AA32" s="94"/>
    </row>
    <row r="33" spans="1:27" s="46" customFormat="1" ht="23.25" thickBot="1" x14ac:dyDescent="0.25">
      <c r="A33" s="98" t="s">
        <v>43</v>
      </c>
      <c r="B33" s="98"/>
      <c r="C33" s="98"/>
      <c r="D33" s="98"/>
      <c r="E33" s="98"/>
      <c r="F33" s="98"/>
      <c r="G33" s="98"/>
      <c r="H33" s="105">
        <f>H27+H28+H29+H30+H31</f>
        <v>609826.90000000014</v>
      </c>
      <c r="I33" s="23" t="s">
        <v>60</v>
      </c>
      <c r="K33" s="94" t="s">
        <v>43</v>
      </c>
      <c r="L33" s="94"/>
      <c r="M33" s="94"/>
      <c r="N33" s="94"/>
      <c r="O33" s="94"/>
      <c r="P33" s="94"/>
      <c r="Q33" s="94"/>
      <c r="R33" s="94"/>
      <c r="T33" s="94" t="s">
        <v>43</v>
      </c>
      <c r="U33" s="94"/>
      <c r="V33" s="94"/>
      <c r="W33" s="94"/>
      <c r="X33" s="94"/>
      <c r="Y33" s="94"/>
      <c r="Z33" s="94"/>
      <c r="AA33" s="94"/>
    </row>
    <row r="34" spans="1:27" ht="14.25" x14ac:dyDescent="0.2">
      <c r="A34" s="14"/>
      <c r="B34" s="3"/>
      <c r="C34" s="3"/>
      <c r="D34" s="3"/>
      <c r="E34" s="3"/>
      <c r="F34" s="3"/>
      <c r="G34" s="3"/>
      <c r="H34" s="3"/>
      <c r="I34" s="3"/>
    </row>
    <row r="35" spans="1:27" ht="14.25" x14ac:dyDescent="0.2">
      <c r="A35" s="14"/>
      <c r="B35" s="3"/>
      <c r="C35" s="3"/>
      <c r="D35" s="3"/>
      <c r="E35" s="3"/>
      <c r="F35" s="3"/>
      <c r="G35" s="3"/>
      <c r="H35" s="3"/>
      <c r="I35" s="3"/>
    </row>
    <row r="36" spans="1:27" ht="14.25" x14ac:dyDescent="0.2">
      <c r="A36" s="14"/>
      <c r="B36" s="3"/>
      <c r="C36" s="3"/>
      <c r="D36" s="3"/>
      <c r="E36" s="3"/>
      <c r="F36" s="3"/>
      <c r="G36" s="3"/>
      <c r="H36" s="3"/>
      <c r="I36" s="3"/>
    </row>
    <row r="37" spans="1:27" ht="14.25" x14ac:dyDescent="0.2">
      <c r="A37" s="14"/>
      <c r="B37" s="3"/>
      <c r="C37" s="3"/>
      <c r="D37" s="3"/>
      <c r="E37" s="3"/>
      <c r="F37" s="3"/>
      <c r="G37" s="3"/>
      <c r="H37" s="3"/>
      <c r="I37" s="3"/>
    </row>
    <row r="38" spans="1:27" ht="14.25" x14ac:dyDescent="0.2">
      <c r="A38" s="14"/>
      <c r="B38" s="3"/>
      <c r="C38" s="3"/>
      <c r="D38" s="3"/>
      <c r="E38" s="3"/>
      <c r="F38" s="3"/>
      <c r="G38" s="3"/>
      <c r="H38" s="3"/>
      <c r="I38" s="3"/>
    </row>
    <row r="39" spans="1:27" ht="14.25" x14ac:dyDescent="0.2">
      <c r="A39" s="14"/>
      <c r="B39" s="3"/>
      <c r="C39" s="3"/>
      <c r="D39" s="3"/>
      <c r="E39" s="3"/>
      <c r="F39" s="3"/>
      <c r="G39" s="3"/>
      <c r="H39" s="3"/>
      <c r="I39" s="3"/>
    </row>
    <row r="40" spans="1:27" ht="14.25" x14ac:dyDescent="0.2">
      <c r="A40" s="14"/>
      <c r="B40" s="3"/>
      <c r="C40" s="3"/>
      <c r="D40" s="3"/>
      <c r="E40" s="3"/>
      <c r="F40" s="3"/>
      <c r="G40" s="3"/>
      <c r="H40" s="3"/>
      <c r="I40" s="3"/>
    </row>
    <row r="41" spans="1:27" ht="14.25" x14ac:dyDescent="0.2">
      <c r="A41" s="14"/>
      <c r="B41" s="3"/>
      <c r="C41" s="3"/>
      <c r="D41" s="3"/>
      <c r="E41" s="3"/>
      <c r="F41" s="3"/>
      <c r="G41" s="3"/>
      <c r="H41" s="3"/>
      <c r="I41" s="3"/>
    </row>
    <row r="42" spans="1:27" ht="14.25" x14ac:dyDescent="0.2">
      <c r="A42" s="14"/>
      <c r="B42" s="3"/>
      <c r="C42" s="3"/>
      <c r="D42" s="3"/>
      <c r="E42" s="3"/>
      <c r="F42" s="3"/>
      <c r="G42" s="3"/>
      <c r="H42" s="3"/>
      <c r="I42" s="3"/>
    </row>
    <row r="43" spans="1:27" ht="14.25" x14ac:dyDescent="0.2">
      <c r="A43" s="14"/>
      <c r="B43" s="3"/>
      <c r="C43" s="3"/>
      <c r="D43" s="3"/>
      <c r="E43" s="3"/>
      <c r="F43" s="3"/>
      <c r="G43" s="3"/>
      <c r="H43" s="3"/>
      <c r="I43" s="3"/>
    </row>
    <row r="44" spans="1:27" ht="14.25" x14ac:dyDescent="0.2">
      <c r="A44" s="14"/>
      <c r="B44" s="3"/>
      <c r="C44" s="3"/>
      <c r="D44" s="3"/>
      <c r="E44" s="3"/>
      <c r="F44" s="3"/>
      <c r="G44" s="3"/>
      <c r="H44" s="3"/>
      <c r="I44" s="3"/>
    </row>
    <row r="45" spans="1:27" ht="14.25" x14ac:dyDescent="0.2">
      <c r="A45" s="14"/>
      <c r="B45" s="3"/>
      <c r="C45" s="3"/>
      <c r="D45" s="3"/>
      <c r="E45" s="3"/>
      <c r="F45" s="3"/>
      <c r="G45" s="3"/>
      <c r="H45" s="3"/>
      <c r="I45" s="3"/>
    </row>
    <row r="46" spans="1:27" ht="14.25" x14ac:dyDescent="0.2">
      <c r="A46" s="14"/>
      <c r="B46" s="3"/>
      <c r="C46" s="3"/>
      <c r="D46" s="3"/>
      <c r="E46" s="3"/>
      <c r="F46" s="3"/>
      <c r="G46" s="3"/>
      <c r="H46" s="3"/>
      <c r="I46" s="3"/>
    </row>
    <row r="47" spans="1:27" ht="14.25" x14ac:dyDescent="0.2">
      <c r="A47" s="14"/>
      <c r="B47" s="3"/>
      <c r="C47" s="3"/>
      <c r="D47" s="3"/>
      <c r="E47" s="3"/>
      <c r="F47" s="3"/>
      <c r="G47" s="3"/>
      <c r="H47" s="3"/>
      <c r="I47" s="3"/>
    </row>
    <row r="48" spans="1:27" ht="14.25" x14ac:dyDescent="0.2">
      <c r="A48" s="14"/>
      <c r="B48" s="3"/>
      <c r="C48" s="3"/>
      <c r="D48" s="3"/>
      <c r="E48" s="3"/>
      <c r="F48" s="3"/>
      <c r="G48" s="3"/>
      <c r="H48" s="3"/>
      <c r="I48" s="3"/>
    </row>
    <row r="49" spans="1:9" ht="14.25" x14ac:dyDescent="0.2">
      <c r="A49" s="12"/>
      <c r="B49" s="3"/>
      <c r="C49" s="3"/>
      <c r="D49" s="3"/>
      <c r="E49" s="3"/>
      <c r="F49" s="3"/>
      <c r="G49" s="3"/>
      <c r="H49" s="3"/>
      <c r="I49" s="3"/>
    </row>
    <row r="50" spans="1:9" x14ac:dyDescent="0.2">
      <c r="B50" s="3"/>
    </row>
  </sheetData>
  <mergeCells count="48">
    <mergeCell ref="K33:R33"/>
    <mergeCell ref="T33:AA33"/>
    <mergeCell ref="T30:AA30"/>
    <mergeCell ref="K7:R7"/>
    <mergeCell ref="W8:W9"/>
    <mergeCell ref="U8:U9"/>
    <mergeCell ref="L8:L9"/>
    <mergeCell ref="R8:R9"/>
    <mergeCell ref="F8:F9"/>
    <mergeCell ref="T32:AA32"/>
    <mergeCell ref="K28:R28"/>
    <mergeCell ref="Y8:Y9"/>
    <mergeCell ref="Z8:Z9"/>
    <mergeCell ref="M8:M9"/>
    <mergeCell ref="O8:O9"/>
    <mergeCell ref="V8:V9"/>
    <mergeCell ref="K32:R32"/>
    <mergeCell ref="K31:R31"/>
    <mergeCell ref="T31:AA31"/>
    <mergeCell ref="T28:AA28"/>
    <mergeCell ref="T29:AA29"/>
    <mergeCell ref="K30:R30"/>
    <mergeCell ref="X8:X9"/>
    <mergeCell ref="K29:R29"/>
    <mergeCell ref="T7:AA7"/>
    <mergeCell ref="A6:H6"/>
    <mergeCell ref="AA8:AA9"/>
    <mergeCell ref="N8:N9"/>
    <mergeCell ref="B8:B9"/>
    <mergeCell ref="A7:H7"/>
    <mergeCell ref="E8:E9"/>
    <mergeCell ref="C8:C9"/>
    <mergeCell ref="D8:D9"/>
    <mergeCell ref="G8:G9"/>
    <mergeCell ref="H8:H9"/>
    <mergeCell ref="P8:P9"/>
    <mergeCell ref="Q8:Q9"/>
    <mergeCell ref="K6:R6"/>
    <mergeCell ref="A1:H1"/>
    <mergeCell ref="A5:H5"/>
    <mergeCell ref="K1:R1"/>
    <mergeCell ref="T6:AA6"/>
    <mergeCell ref="T1:AA1"/>
    <mergeCell ref="A4:H4"/>
    <mergeCell ref="T4:AA4"/>
    <mergeCell ref="K5:R5"/>
    <mergeCell ref="T5:AA5"/>
    <mergeCell ref="K4:R4"/>
  </mergeCells>
  <phoneticPr fontId="2" type="noConversion"/>
  <printOptions horizontalCentered="1" verticalCentered="1"/>
  <pageMargins left="0.59055118110236227" right="0.59055118110236227" top="0" bottom="0.59055118110236227" header="0" footer="0"/>
  <pageSetup scale="68" orientation="landscape" verticalDpi="1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Reportes e Informes" ma:contentTypeID="0x010100A5CBAA288346DF4BBEA9C2B9DE0F51FC0007D87C02109F08418AA3761D0303DE40" ma:contentTypeVersion="40" ma:contentTypeDescription="Tipo de contenido para reportes e informes" ma:contentTypeScope="" ma:versionID="f43c96e836b20ca476972aa0bf6d3f2b">
  <xsd:schema xmlns:xsd="http://www.w3.org/2001/XMLSchema" xmlns:xs="http://www.w3.org/2001/XMLSchema" xmlns:p="http://schemas.microsoft.com/office/2006/metadata/properties" xmlns:ns2="50c9ad05-f14b-4b4b-ac8d-cc1aab761679" xmlns:ns3="4d53abad-067f-4dc2-ab09-89be0e02cd42" targetNamespace="http://schemas.microsoft.com/office/2006/metadata/properties" ma:root="true" ma:fieldsID="f37c70b25f52d5d988f567714ecf0bf1" ns2:_="" ns3:_="">
    <xsd:import namespace="50c9ad05-f14b-4b4b-ac8d-cc1aab761679"/>
    <xsd:import namespace="4d53abad-067f-4dc2-ab09-89be0e02cd42"/>
    <xsd:element name="properties">
      <xsd:complexType>
        <xsd:sequence>
          <xsd:element name="documentManagement">
            <xsd:complexType>
              <xsd:all>
                <xsd:element ref="ns2:NumeroPublicacion" minOccurs="0"/>
                <xsd:element ref="ns2:DescripcionTextoEnriquecido" minOccurs="0"/>
                <xsd:element ref="ns2:FechaPublicacion" minOccurs="0"/>
                <xsd:element ref="ns2:Portada" minOccurs="0"/>
                <xsd:element ref="ns2:PeriodoReferencia" minOccurs="0"/>
                <xsd:element ref="ns3:MostrarPanelDescargas" minOccurs="0"/>
                <xsd:element ref="ns3:PublicacionPrincipal" minOccurs="0"/>
                <xsd:element ref="ns3:a65f39dcc1cc4605a265e41cc5b1805e" minOccurs="0"/>
                <xsd:element ref="ns3:k5218e2f12804ff49960f676b33e6077" minOccurs="0"/>
                <xsd:element ref="ns2:TaxCatchAll" minOccurs="0"/>
                <xsd:element ref="ns3:l50d1e52690547528a197d25d7743edf" minOccurs="0"/>
                <xsd:element ref="ns2:TaxCatchAllLabel" minOccurs="0"/>
                <xsd:element ref="ns3:i3600b5ac6a14d83958b1325b7fbb708" minOccurs="0"/>
                <xsd:element ref="ns3:k2c6f425ae1f46a4a937a8d8af7f7db7" minOccurs="0"/>
                <xsd:element ref="ns3:_dlc_DocId" minOccurs="0"/>
                <xsd:element ref="ns3:_dlc_DocIdUrl" minOccurs="0"/>
                <xsd:element ref="ns3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c9ad05-f14b-4b4b-ac8d-cc1aab761679" elementFormDefault="qualified">
    <xsd:import namespace="http://schemas.microsoft.com/office/2006/documentManagement/types"/>
    <xsd:import namespace="http://schemas.microsoft.com/office/infopath/2007/PartnerControls"/>
    <xsd:element name="NumeroPublicacion" ma:index="1" nillable="true" ma:displayName="NumeroPublicacion" ma:decimals="0" ma:internalName="NumeroPublicacion">
      <xsd:simpleType>
        <xsd:restriction base="dms:Number"/>
      </xsd:simpleType>
    </xsd:element>
    <xsd:element name="DescripcionTextoEnriquecido" ma:index="3" nillable="true" ma:displayName="DescripcionTextoEnriquecido" ma:description="Columna de sitio para el ingreso de la descripción de documentos." ma:internalName="DescripcionTextoEnriquecido" ma:readOnly="false">
      <xsd:simpleType>
        <xsd:restriction base="dms:Unknown"/>
      </xsd:simpleType>
    </xsd:element>
    <xsd:element name="FechaPublicacion" ma:index="4" nillable="true" ma:displayName="FechaPublicacionITCER" ma:default="[today]" ma:format="DateOnly" ma:internalName="FechaPublicacion">
      <xsd:simpleType>
        <xsd:restriction base="dms:DateTime"/>
      </xsd:simpleType>
    </xsd:element>
    <xsd:element name="Portada" ma:index="5" nillable="true" ma:displayName="Portada" ma:format="Image" ma:internalName="Portada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eriodoReferencia" ma:index="6" nillable="true" ma:displayName="PeriodoReferencia" ma:description="Columna de sitio para ingresar el periodo de referencia del documento." ma:internalName="PeriodoReferencia">
      <xsd:simpleType>
        <xsd:restriction base="dms:Text">
          <xsd:maxLength value="255"/>
        </xsd:restriction>
      </xsd:simpleType>
    </xsd:element>
    <xsd:element name="TaxCatchAll" ma:index="16" nillable="true" ma:displayName="Taxonomy Catch All Column" ma:hidden="true" ma:list="{2f789c9d-e4ef-4eb7-8097-56c6eccdb1b4}" ma:internalName="TaxCatchAll" ma:showField="CatchAllData" ma:web="50c9ad05-f14b-4b4b-ac8d-cc1aab7616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8" nillable="true" ma:displayName="Taxonomy Catch All Column1" ma:hidden="true" ma:list="{2f789c9d-e4ef-4eb7-8097-56c6eccdb1b4}" ma:internalName="TaxCatchAllLabel" ma:readOnly="true" ma:showField="CatchAllDataLabel" ma:web="50c9ad05-f14b-4b4b-ac8d-cc1aab7616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53abad-067f-4dc2-ab09-89be0e02cd42" elementFormDefault="qualified">
    <xsd:import namespace="http://schemas.microsoft.com/office/2006/documentManagement/types"/>
    <xsd:import namespace="http://schemas.microsoft.com/office/infopath/2007/PartnerControls"/>
    <xsd:element name="MostrarPanelDescargas" ma:index="11" nillable="true" ma:displayName="MostrarPanelDescargas" ma:default="0" ma:internalName="MostrarPanelDescargas">
      <xsd:simpleType>
        <xsd:restriction base="dms:Boolean"/>
      </xsd:simpleType>
    </xsd:element>
    <xsd:element name="PublicacionPrincipal" ma:index="12" nillable="true" ma:displayName="PublicacionPrincipal" ma:default="0" ma:internalName="PublicacionPrincipal">
      <xsd:simpleType>
        <xsd:restriction base="dms:Boolean"/>
      </xsd:simpleType>
    </xsd:element>
    <xsd:element name="a65f39dcc1cc4605a265e41cc5b1805e" ma:index="13" nillable="true" ma:taxonomy="true" ma:internalName="a65f39dcc1cc4605a265e41cc5b1805e" ma:taxonomyFieldName="Etiquetas" ma:displayName="Etiquetas" ma:default="181;#Cuadros del Marco Central de las Cuentas Nacionales|485e7619-83c5-4c22-8f65-5071a158dd0a" ma:fieldId="{a65f39dc-c1cc-4605-a265-e41cc5b1805e}" ma:taxonomyMulti="true" ma:sspId="f624eb60-d1e5-4fda-86b2-4442eda4e4b9" ma:termSetId="5e9f7e68-c0fa-484d-a73f-3e4906055fd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k5218e2f12804ff49960f676b33e6077" ma:index="15" nillable="true" ma:taxonomy="true" ma:internalName="k5218e2f12804ff49960f676b33e6077" ma:taxonomyFieldName="Periodicidad" ma:displayName="Periodicidad" ma:default="54;#Anual|53a02b9e-4787-4da6-ada8-cd9f01fb3d08" ma:fieldId="{45218e2f-1280-4ff4-9960-f676b33e6077}" ma:sspId="f624eb60-d1e5-4fda-86b2-4442eda4e4b9" ma:termSetId="6d386c43-8feb-4bdb-8258-50d4d5bf42e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l50d1e52690547528a197d25d7743edf" ma:index="17" nillable="true" ma:taxonomy="true" ma:internalName="l50d1e52690547528a197d25d7743edf" ma:taxonomyFieldName="SectoresEconomicos" ma:displayName="SectoresEconomicos" ma:default="27;#Sector real|1c43d441-1527-4536-b2af-42bfacf4c529" ma:fieldId="{550d1e52-6905-4752-8a19-7d25d7743edf}" ma:sspId="f624eb60-d1e5-4fda-86b2-4442eda4e4b9" ma:termSetId="27dc244c-1a59-4dd4-92e8-18cb1d33ed1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3600b5ac6a14d83958b1325b7fbb708" ma:index="19" nillable="true" ma:taxonomy="true" ma:internalName="i3600b5ac6a14d83958b1325b7fbb708" ma:taxonomyFieldName="SectoresInteresados" ma:displayName="SectoresInteresados" ma:default="535;#Público en general|e392b94e-3b20-41be-9a60-4b59b3f3a43a" ma:fieldId="{23600b5a-c6a1-4d83-958b-1325b7fbb708}" ma:taxonomyMulti="true" ma:sspId="f624eb60-d1e5-4fda-86b2-4442eda4e4b9" ma:termSetId="6c84c4f3-a850-4541-8efc-4b884ba5cd33" ma:anchorId="4abf3c7d-634b-4418-b8f6-c4d11f1ef60c" ma:open="false" ma:isKeyword="false">
      <xsd:complexType>
        <xsd:sequence>
          <xsd:element ref="pc:Terms" minOccurs="0" maxOccurs="1"/>
        </xsd:sequence>
      </xsd:complexType>
    </xsd:element>
    <xsd:element name="k2c6f425ae1f46a4a937a8d8af7f7db7" ma:index="24" nillable="true" ma:taxonomy="true" ma:internalName="k2c6f425ae1f46a4a937a8d8af7f7db7" ma:taxonomyFieldName="Tematica" ma:displayName="Tematica" ma:default="180;#Clasificación Cruzada Industria Sector Institucional|3569b36a-9a82-4a48-a066-f9b7ca32f8d6" ma:fieldId="{42c6f425-ae1f-46a4-a937-a8d8af7f7db7}" ma:sspId="f624eb60-d1e5-4fda-86b2-4442eda4e4b9" ma:termSetId="82b1782f-ebb2-4d47-b482-bc8ee851f010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_dlc_DocId" ma:index="27" nillable="true" ma:displayName="Valor de Id. de documento" ma:description="El valor del identificador de documento asignado a este elemento." ma:internalName="_dlc_DocId" ma:readOnly="true">
      <xsd:simpleType>
        <xsd:restriction base="dms:Text"/>
      </xsd:simpleType>
    </xsd:element>
    <xsd:element name="_dlc_DocIdUrl" ma:index="28" nillable="true" ma:displayName="Id. de documento" ma:description="Vínculo permanente 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Tipo de contenido"/>
        <xsd:element ref="dc:title" minOccurs="0" maxOccurs="1" ma:index="23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LongProperties xmlns="http://schemas.microsoft.com/office/2006/metadata/longProperties">
  <LongProp xmlns="" name="TaxCatchAll"><![CDATA[181;#Cuadros del Marco Central de las Cuentas Nacionales|485e7619-83c5-4c22-8f65-5071a158dd0a;#54;#Anual|53a02b9e-4787-4da6-ada8-cd9f01fb3d08;#27;#Sector real|1c43d441-1527-4536-b2af-42bfacf4c529;#535;#Público en general|e392b94e-3b20-41be-9a60-4b59b3f3a43a;#180;#Clasificación Cruzada Industria Sector Institucional|3569b36a-9a82-4a48-a066-f9b7ca32f8d6]]></LongProp>
</Long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EFB6E5-57F8-4C3C-BF2A-4D9B35B123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c9ad05-f14b-4b4b-ac8d-cc1aab761679"/>
    <ds:schemaRef ds:uri="4d53abad-067f-4dc2-ab09-89be0e02cd4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15BA576-629A-4C3A-9B4B-9919897A255C}">
  <ds:schemaRefs>
    <ds:schemaRef ds:uri="http://schemas.microsoft.com/office/2006/metadata/longProperties"/>
    <ds:schemaRef ds:uri=""/>
  </ds:schemaRefs>
</ds:datastoreItem>
</file>

<file path=customXml/itemProps3.xml><?xml version="1.0" encoding="utf-8"?>
<ds:datastoreItem xmlns:ds="http://schemas.openxmlformats.org/officeDocument/2006/customXml" ds:itemID="{9182731C-0E10-4841-8436-FA23EB04F0BB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4D29EA5A-3EFA-480D-A7F1-EA465C0BC0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Menú</vt:lpstr>
      <vt:lpstr>Producción</vt:lpstr>
      <vt:lpstr>Consumo Intermedio</vt:lpstr>
      <vt:lpstr>Valor Agregado</vt:lpstr>
      <vt:lpstr>'Consumo Intermedio'!Print_Area</vt:lpstr>
      <vt:lpstr>Producción!Print_Area</vt:lpstr>
      <vt:lpstr>'Valor Agregado'!Print_Area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Elvis Teodoro Casco Alfaro</cp:lastModifiedBy>
  <cp:revision/>
  <dcterms:created xsi:type="dcterms:W3CDTF">2007-09-27T23:48:17Z</dcterms:created>
  <dcterms:modified xsi:type="dcterms:W3CDTF">2024-05-06T22:26:26Z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ctoresInteresados">
    <vt:lpwstr>535;#Público en general|e392b94e-3b20-41be-9a60-4b59b3f3a43a</vt:lpwstr>
  </property>
  <property fmtid="{D5CDD505-2E9C-101B-9397-08002B2CF9AE}" pid="3" name="SectoresEconomicos">
    <vt:lpwstr>27;#Sector real|1c43d441-1527-4536-b2af-42bfacf4c529</vt:lpwstr>
  </property>
  <property fmtid="{D5CDD505-2E9C-101B-9397-08002B2CF9AE}" pid="4" name="Etiquetas">
    <vt:lpwstr>181;#Cuadros del Marco Central de las Cuentas Nacionales|485e7619-83c5-4c22-8f65-5071a158dd0a</vt:lpwstr>
  </property>
  <property fmtid="{D5CDD505-2E9C-101B-9397-08002B2CF9AE}" pid="5" name="Tematica">
    <vt:lpwstr>180;#Clasificación Cruzada Industria Sector Institucional|3569b36a-9a82-4a48-a066-f9b7ca32f8d6</vt:lpwstr>
  </property>
  <property fmtid="{D5CDD505-2E9C-101B-9397-08002B2CF9AE}" pid="6" name="Periodicidad">
    <vt:lpwstr>54;#Anual|53a02b9e-4787-4da6-ada8-cd9f01fb3d08</vt:lpwstr>
  </property>
  <property fmtid="{D5CDD505-2E9C-101B-9397-08002B2CF9AE}" pid="7" name="TaxCatchAll">
    <vt:lpwstr>181;#Cuadros del Marco Central de las Cuentas Nacionales|485e7619-83c5-4c22-8f65-5071a158dd0a;#54;#Anual|53a02b9e-4787-4da6-ada8-cd9f01fb3d08;#27;#Sector real|1c43d441-1527-4536-b2af-42bfacf4c529;#535;#Público en general|e392b94e-3b20-41be-9a60-4b59b3f3a4</vt:lpwstr>
  </property>
  <property fmtid="{D5CDD505-2E9C-101B-9397-08002B2CF9AE}" pid="8" name="FechaPublicacion">
    <vt:lpwstr>2019-12-01T00:00:00Z</vt:lpwstr>
  </property>
</Properties>
</file>